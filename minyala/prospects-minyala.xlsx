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À contacter</t>
        </is>
      </c>
      <c r="M2" s="54" t="n"/>
      <c r="N2" s="53" t="n"/>
      <c r="O2" s="53" t="n"/>
      <c r="P2" s="55" t="n"/>
      <c r="Q2" s="56">
        <f>'Mode d''emploi'!$B$29</f>
        <v/>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À contacter</t>
        </is>
      </c>
      <c r="M3" s="54" t="n"/>
      <c r="N3" s="53" t="inlineStr">
        <is>
          <t>Prochain contact depuis la boîte Gmail (pas Hotmail), après fusion du suivi</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À contacter</t>
        </is>
      </c>
      <c r="M4" s="54" t="n"/>
      <c r="N4" s="53" t="inlineStr">
        <is>
          <t>Prochain contact depuis la boîte Gmail (pas Hotmail), après fusion du suivi</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À contacter</t>
        </is>
      </c>
      <c r="M5" s="54" t="n"/>
      <c r="N5" s="53" t="inlineStr">
        <is>
          <t>Prochain contact depuis la boîte Gmail (pas Hotmail), après fusion du suivi</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À contacter</t>
        </is>
      </c>
      <c r="M6" s="54" t="n"/>
      <c r="N6" s="53" t="inlineStr">
        <is>
          <t>Prochain contact depuis la boîte Gmail (pas Hotmail), après fusion du suivi</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À contacter</t>
        </is>
      </c>
      <c r="M25" s="54" t="n"/>
      <c r="N25" s="53" t="n"/>
      <c r="O25" s="53" t="inlineStr">
        <is>
          <t>[13/10] Aucun e-mail propre à SNNMC publié : formulaire sur la fiche France Matériaux, ou téléphone.</t>
        </is>
      </c>
      <c r="P25" s="55" t="n"/>
      <c r="Q25" s="56">
        <f>'Mode d''emploi'!$B$29</f>
        <v/>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À contacter</t>
        </is>
      </c>
      <c r="M31" s="54" t="n"/>
      <c r="N31" s="53" t="n"/>
      <c r="O31" s="53" t="inlineStr">
        <is>
          <t>[13/10] Lien « Envoyer un e-mail » de la page Notre agence (Coignières).</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À contacter</t>
        </is>
      </c>
      <c r="M36" s="54" t="n"/>
      <c r="N36" s="53" t="n"/>
      <c r="O36" s="53" t="inlineStr">
        <is>
          <t>[13/10] Page agence de Caen du site Pillaud.</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À contacter</t>
        </is>
      </c>
      <c r="M37" s="54" t="n"/>
      <c r="N37" s="53" t="n"/>
      <c r="O37" s="53" t="inlineStr">
        <is>
          <t>[13/10] Affiché en forme anti-spam « info[@]torchio.fr » sur les mentions légales du site.</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02 35 75 64 07</t>
        </is>
      </c>
      <c r="K71" s="52" t="inlineStr">
        <is>
          <t>Voir</t>
        </is>
      </c>
      <c r="L71" s="53" t="inlineStr">
        <is>
          <t>À contacter</t>
        </is>
      </c>
      <c r="M71" s="54" t="n"/>
      <c r="N71" s="53" t="n"/>
      <c r="O71" s="53" t="n"/>
      <c r="P71" s="55" t="n"/>
      <c r="Q71" s="56">
        <f>'Mode d''emploi'!$B$29</f>
        <v/>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n"/>
      <c r="K72" s="52" t="inlineStr">
        <is>
          <t>Voir</t>
        </is>
      </c>
      <c r="L72" s="53" t="inlineStr">
        <is>
          <t>À contacter</t>
        </is>
      </c>
      <c r="M72" s="54" t="n"/>
      <c r="N72" s="53" t="n"/>
      <c r="O72" s="53" t="n"/>
      <c r="P72" s="55" t="n"/>
      <c r="Q72" s="56">
        <f>'Mode d''emploi'!$B$29</f>
        <v/>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n"/>
      <c r="O73" s="53" t="n"/>
      <c r="P73" s="55" t="n"/>
      <c r="Q73" s="56">
        <f>'Mode d''emploi'!$B$29</f>
        <v/>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n"/>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À contacter</t>
        </is>
      </c>
      <c r="M119" s="54" t="n"/>
      <c r="N119" s="53" t="n"/>
      <c r="O119" s="53" t="n"/>
      <c r="P119" s="55" t="n"/>
      <c r="Q119" s="56">
        <f>'Mode d''emploi'!$B$29</f>
        <v/>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À contacter</t>
        </is>
      </c>
      <c r="M121" s="54" t="n"/>
      <c r="N121" s="53" t="n"/>
      <c r="O121" s="53" t="n"/>
      <c r="P121" s="55" t="n"/>
      <c r="Q121" s="56">
        <f>'Mode d''emploi'!$B$29</f>
        <v/>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À contacter</t>
        </is>
      </c>
      <c r="M124" s="54" t="n"/>
      <c r="N124" s="53" t="inlineStr">
        <is>
          <t>Prochain contact depuis la boîte Gmail (pas Hotmail), après fusion du suivi</t>
        </is>
      </c>
      <c r="O124" s="53" t="inlineStr">
        <is>
          <t>[13/10] Tentative depuis Hotmail rejetée EN SORTIE (5.7.520 : contenu classé spam par Microsoft) — message non remis ; l'adresse n'est pas forcément invalide. Prochain contact depuis la boîte Gmail, nouveau modèle, jamais depuis Hotmail.</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À contacter</t>
        </is>
      </c>
      <c r="M125" s="54" t="n"/>
      <c r="N125" s="53" t="n"/>
      <c r="O125" s="53" t="n"/>
      <c r="P125" s="55" t="n"/>
      <c r="Q125" s="56">
        <f>'Mode d''emploi'!$B$29</f>
        <v/>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À contacter</t>
        </is>
      </c>
      <c r="M127" s="54" t="n"/>
      <c r="N127" s="53" t="n"/>
      <c r="O127" s="53" t="n"/>
      <c r="P127" s="55" t="n"/>
      <c r="Q127" s="56">
        <f>'Mode d''emploi'!$B$29</f>
        <v/>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À contacter</t>
        </is>
      </c>
      <c r="M128" s="54" t="n"/>
      <c r="N128" s="53" t="inlineStr">
        <is>
          <t>Prochain contact depuis la boîte Gmail (pas Hotmail), après fusion du suivi</t>
        </is>
      </c>
      <c r="O128" s="53" t="inlineStr">
        <is>
          <t>[13/10] Tentative depuis Hotmail rejetée EN SORTIE (5.7.520 : contenu classé spam par Microsoft) — message non remis ; l'adresse n'est pas forcément invalide. Prochain contact depuis la boîte Gmail, nouveau modèle, jamais depuis Hotmail.</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À contacter</t>
        </is>
      </c>
      <c r="M129" s="54" t="n"/>
      <c r="N129" s="53" t="n"/>
      <c r="O129" s="53" t="n"/>
      <c r="P129" s="55" t="n"/>
      <c r="Q129" s="56">
        <f>'Mode d''emploi'!$B$29</f>
        <v/>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À contacter</t>
        </is>
      </c>
      <c r="M132" s="54" t="n"/>
      <c r="N132" s="53" t="n"/>
      <c r="O132" s="53" t="n"/>
      <c r="P132" s="55" t="n"/>
      <c r="Q132" s="56">
        <f>'Mode d''emploi'!$B$29</f>
        <v/>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n"/>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À contacter</t>
        </is>
      </c>
      <c r="M136" s="54" t="n"/>
      <c r="N136" s="53" t="n"/>
      <c r="O136" s="53" t="n"/>
      <c r="P136" s="55" t="n"/>
      <c r="Q136" s="56">
        <f>'Mode d''emploi'!$B$29</f>
        <v/>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t="n">
        <v>202</v>
      </c>
      <c r="B202" t="inlineStr">
        <is>
          <t>StoneContact</t>
        </is>
      </c>
      <c r="C202" t="n">
        <v>1</v>
      </c>
      <c r="D202" t="inlineStr">
        <is>
          <t>Négoce / revendeur</t>
        </is>
      </c>
      <c r="E202" t="inlineStr">
        <is>
          <t>FABIAN (demande StoneContact)</t>
        </is>
      </c>
      <c r="F202" t="inlineStr">
        <is>
          <t>France</t>
        </is>
      </c>
      <c r="G202" t="inlineStr">
        <is>
          <t>France</t>
        </is>
      </c>
      <c r="H202" t="inlineStr">
        <is>
          <t>Demande ~500 m², dalles 55×85 cm (format non disponible : contre-proposer le 30×60×2).</t>
        </is>
      </c>
      <c r="K202" t="inlineStr">
        <is>
          <t>StoneContact</t>
        </is>
      </c>
      <c r="L202" s="32" t="inlineStr">
        <is>
          <t>À contacter</t>
        </is>
      </c>
      <c r="N202" t="inlineStr">
        <is>
          <t>Répondre via StoneContact avec la contre-proposition préparée — Une seule voie de contact par piste ; répondre avec le message préparé (minyala/reponses-pistes-2026-10.md) et noter la date ici</t>
        </is>
      </c>
      <c r="O202" t="inlineStr">
        <is>
          <t>[15/10] Conditions pro sur devis écrit après SIRET ; ne pas payer l'abonnement avant d'avoir vu les détails gratuits.</t>
        </is>
      </c>
      <c r="Q202" s="44">
        <f>'Mode d''emploi'!$B$29</f>
        <v/>
      </c>
    </row>
    <row r="203" ht="15" customHeight="1" s="33">
      <c r="L203" s="32" t="n"/>
      <c r="Q203" s="44">
        <f>'Mode d''emploi'!$B$29</f>
        <v/>
      </c>
    </row>
    <row r="204" ht="15" customHeight="1" s="33">
      <c r="L204" s="32" t="n"/>
      <c r="Q204" s="44">
        <f>'Mode d''emploi'!$B$29</f>
        <v/>
      </c>
    </row>
    <row r="205" ht="15" customHeight="1" s="33">
      <c r="L205" s="32" t="n"/>
      <c r="Q205" s="44">
        <f>'Mode d''emploi'!$B$29</f>
        <v/>
      </c>
    </row>
    <row r="206" ht="15" customHeight="1" s="33">
      <c r="L206" s="32" t="n"/>
      <c r="Q206" s="44">
        <f>'Mode d''emploi'!$B$29</f>
        <v/>
      </c>
    </row>
    <row r="207" ht="15" customHeight="1" s="33">
      <c r="L207" s="32" t="n"/>
      <c r="Q207" s="44">
        <f>'Mode d''emploi'!$B$29</f>
        <v/>
      </c>
    </row>
    <row r="208" ht="15" customHeight="1" s="33">
      <c r="L208" s="32" t="n"/>
      <c r="Q208" s="44">
        <f>'Mode d''emploi'!$B$29</f>
        <v/>
      </c>
    </row>
    <row r="209" ht="15" customHeight="1" s="33">
      <c r="L209" s="32" t="n"/>
      <c r="Q209" s="44">
        <f>'Mode d''emploi'!$B$29</f>
        <v/>
      </c>
    </row>
    <row r="210" ht="15" customHeight="1" s="33">
      <c r="L210" s="32" t="n"/>
      <c r="Q210" s="44">
        <f>'Mode d''emploi'!$B$29</f>
        <v/>
      </c>
    </row>
    <row r="211" ht="15" customHeight="1" s="33">
      <c r="L211" s="32" t="n"/>
      <c r="Q211" s="44">
        <f>'Mode d''emploi'!$B$29</f>
        <v/>
      </c>
    </row>
    <row r="212" ht="15" customHeight="1" s="33">
      <c r="L212" s="32" t="n"/>
      <c r="Q212" s="44">
        <f>'Mode d''emploi'!$B$29</f>
        <v/>
      </c>
    </row>
    <row r="213" ht="15" customHeight="1" s="33">
      <c r="L213" s="32" t="n"/>
      <c r="Q213" s="44">
        <f>'Mode d''emploi'!$B$29</f>
        <v/>
      </c>
    </row>
    <row r="214" ht="15" customHeight="1" s="33">
      <c r="L214" s="32" t="n"/>
      <c r="Q214" s="44">
        <f>'Mode d''emploi'!$B$29</f>
        <v/>
      </c>
    </row>
    <row r="215" ht="15" customHeight="1" s="33">
      <c r="L215" s="32" t="n"/>
      <c r="Q215" s="44">
        <f>'Mode d''emploi'!$B$29</f>
        <v/>
      </c>
    </row>
    <row r="216" ht="15" customHeight="1" s="33">
      <c r="L216" s="32" t="n"/>
      <c r="Q216" s="44">
        <f>'Mode d''emploi'!$B$29</f>
        <v/>
      </c>
    </row>
    <row r="217" ht="15" customHeight="1" s="33">
      <c r="L217" s="32" t="n"/>
      <c r="Q217" s="44">
        <f>'Mode d''emploi'!$B$29</f>
        <v/>
      </c>
    </row>
    <row r="218" ht="15" customHeight="1" s="33">
      <c r="L218" s="32" t="n"/>
      <c r="Q218" s="44">
        <f>'Mode d''emploi'!$B$29</f>
        <v/>
      </c>
    </row>
    <row r="219" ht="15" customHeight="1" s="33">
      <c r="L219" s="32" t="n"/>
      <c r="Q219" s="44">
        <f>'Mode d''emploi'!$B$29</f>
        <v/>
      </c>
    </row>
    <row r="220" ht="15" customHeight="1" s="33">
      <c r="L220" s="32" t="n"/>
      <c r="Q220" s="44">
        <f>'Mode d''emploi'!$B$29</f>
        <v/>
      </c>
    </row>
    <row r="221" ht="15" customHeight="1" s="33">
      <c r="L221" s="32" t="n"/>
      <c r="Q221" s="44">
        <f>'Mode d''emploi'!$B$29</f>
        <v/>
      </c>
    </row>
    <row r="222" ht="15" customHeight="1" s="33">
      <c r="L222" s="32" t="n"/>
      <c r="Q222" s="44">
        <f>'Mode d''emploi'!$B$29</f>
        <v/>
      </c>
    </row>
    <row r="223" ht="15" customHeight="1" s="33">
      <c r="L223" s="32" t="n"/>
      <c r="Q223" s="44">
        <f>'Mode d''emploi'!$B$29</f>
        <v/>
      </c>
    </row>
    <row r="224" ht="15" customHeight="1" s="33">
      <c r="L224" s="32" t="n"/>
      <c r="Q224" s="44">
        <f>'Mode d''emploi'!$B$29</f>
        <v/>
      </c>
    </row>
    <row r="225" ht="15" customHeight="1" s="33">
      <c r="L225" s="32" t="n"/>
      <c r="Q225" s="44">
        <f>'Mode d''emploi'!$B$29</f>
        <v/>
      </c>
    </row>
    <row r="226" ht="15" customHeight="1" s="33">
      <c r="L226" s="32" t="n"/>
      <c r="Q226" s="44">
        <f>'Mode d''emploi'!$B$29</f>
        <v/>
      </c>
    </row>
    <row r="227" ht="15" customHeight="1" s="33">
      <c r="L227" s="32" t="n"/>
      <c r="Q227" s="44">
        <f>'Mode d''emploi'!$B$29</f>
        <v/>
      </c>
    </row>
    <row r="228" ht="15" customHeight="1" s="33">
      <c r="L228" s="32" t="n"/>
      <c r="Q228" s="44">
        <f>'Mode d''emploi'!$B$29</f>
        <v/>
      </c>
    </row>
    <row r="229" ht="15" customHeight="1" s="33">
      <c r="L229" s="32" t="n"/>
      <c r="Q229" s="44">
        <f>'Mode d''emploi'!$B$29</f>
        <v/>
      </c>
    </row>
    <row r="230" ht="15" customHeight="1" s="33">
      <c r="L230" s="32" t="n"/>
      <c r="Q230" s="44">
        <f>'Mode d''emploi'!$B$29</f>
        <v/>
      </c>
    </row>
    <row r="231" ht="15" customHeight="1" s="33">
      <c r="L231" s="32" t="n"/>
      <c r="Q231" s="44">
        <f>'Mode d''emploi'!$B$29</f>
        <v/>
      </c>
    </row>
    <row r="232" ht="15" customHeight="1" s="33">
      <c r="L232" s="32" t="n"/>
      <c r="Q232" s="44">
        <f>'Mode d''emploi'!$B$29</f>
        <v/>
      </c>
    </row>
    <row r="233" ht="15" customHeight="1" s="33">
      <c r="L233" s="32" t="n"/>
      <c r="Q233" s="44">
        <f>'Mode d''emploi'!$B$29</f>
        <v/>
      </c>
    </row>
    <row r="234" ht="15" customHeight="1" s="33">
      <c r="L234" s="32" t="n"/>
      <c r="Q234" s="44">
        <f>'Mode d''emploi'!$B$29</f>
        <v/>
      </c>
    </row>
    <row r="235" ht="15" customHeight="1" s="33">
      <c r="L235" s="32" t="n"/>
      <c r="Q235" s="44">
        <f>'Mode d''emploi'!$B$29</f>
        <v/>
      </c>
    </row>
    <row r="236" ht="15" customHeight="1" s="33">
      <c r="L236" s="32" t="n"/>
      <c r="Q236" s="44">
        <f>'Mode d''emploi'!$B$29</f>
        <v/>
      </c>
    </row>
    <row r="237" ht="15" customHeight="1" s="33">
      <c r="L237" s="32" t="n"/>
      <c r="Q237" s="44">
        <f>'Mode d''emploi'!$B$29</f>
        <v/>
      </c>
    </row>
    <row r="238" ht="15" customHeight="1" s="33">
      <c r="L238" s="32" t="n"/>
      <c r="Q238" s="44">
        <f>'Mode d''emploi'!$B$29</f>
        <v/>
      </c>
    </row>
    <row r="239" ht="15" customHeight="1" s="33">
      <c r="L239" s="32" t="n"/>
      <c r="Q239" s="44">
        <f>'Mode d''emploi'!$B$29</f>
        <v/>
      </c>
    </row>
    <row r="240" ht="15" customHeight="1" s="33">
      <c r="L240" s="32" t="n"/>
      <c r="Q240" s="44">
        <f>'Mode d''emploi'!$B$29</f>
        <v/>
      </c>
    </row>
    <row r="241" ht="15" customHeight="1" s="33">
      <c r="L241" s="32" t="n"/>
      <c r="Q241" s="44">
        <f>'Mode d''emploi'!$B$29</f>
        <v/>
      </c>
    </row>
    <row r="242" ht="15" customHeight="1" s="33">
      <c r="L242" s="32" t="n"/>
      <c r="Q242" s="44">
        <f>'Mode d''emploi'!$B$29</f>
        <v/>
      </c>
    </row>
    <row r="243" ht="15" customHeight="1" s="33">
      <c r="L243" s="32" t="n"/>
      <c r="Q243" s="44">
        <f>'Mode d''emploi'!$B$29</f>
        <v/>
      </c>
    </row>
    <row r="244" ht="15" customHeight="1" s="33">
      <c r="L244" s="32" t="n"/>
      <c r="Q244" s="44">
        <f>'Mode d''emploi'!$B$29</f>
        <v/>
      </c>
    </row>
    <row r="245" ht="15" customHeight="1" s="33">
      <c r="L245" s="32" t="n"/>
      <c r="Q245" s="44">
        <f>'Mode d''emploi'!$B$29</f>
        <v/>
      </c>
    </row>
    <row r="246" ht="15" customHeight="1" s="33">
      <c r="L246" s="32" t="n"/>
      <c r="Q246" s="44">
        <f>'Mode d''emploi'!$B$29</f>
        <v/>
      </c>
    </row>
    <row r="247" ht="15" customHeight="1" s="33">
      <c r="L247" s="32" t="n"/>
      <c r="Q247" s="44">
        <f>'Mode d''emploi'!$B$29</f>
        <v/>
      </c>
    </row>
    <row r="248" ht="15" customHeight="1" s="33">
      <c r="L248" s="32" t="n"/>
      <c r="Q248" s="44">
        <f>'Mode d''emploi'!$B$29</f>
        <v/>
      </c>
    </row>
    <row r="249" ht="15" customHeight="1" s="33">
      <c r="L249" s="32" t="n"/>
      <c r="Q249" s="44">
        <f>'Mode d''emploi'!$B$29</f>
        <v/>
      </c>
    </row>
    <row r="250" ht="15" customHeight="1" s="33">
      <c r="L250" s="32" t="n"/>
      <c r="Q250" s="44">
        <f>'Mode d''emploi'!$B$29</f>
        <v/>
      </c>
    </row>
    <row r="251" ht="15" customHeight="1" s="33">
      <c r="L251" s="32" t="n"/>
      <c r="Q251" s="44">
        <f>'Mode d''emploi'!$B$29</f>
        <v/>
      </c>
    </row>
    <row r="252" ht="15" customHeight="1" s="33">
      <c r="L252" s="32" t="n"/>
      <c r="Q252" s="44">
        <f>'Mode d''emploi'!$B$29</f>
        <v/>
      </c>
    </row>
    <row r="253" ht="15" customHeight="1" s="33">
      <c r="L253" s="32" t="n"/>
      <c r="Q253" s="44">
        <f>'Mode d''emploi'!$B$29</f>
        <v/>
      </c>
    </row>
    <row r="254" ht="15" customHeight="1" s="33">
      <c r="L254" s="32" t="n"/>
      <c r="Q254" s="44">
        <f>'Mode d''emploi'!$B$29</f>
        <v/>
      </c>
    </row>
    <row r="255" ht="15" customHeight="1" s="33">
      <c r="L255" s="32" t="n"/>
      <c r="Q255" s="44">
        <f>'Mode d''emploi'!$B$29</f>
        <v/>
      </c>
    </row>
    <row r="256" ht="15" customHeight="1" s="33">
      <c r="L256" s="32" t="n"/>
      <c r="Q256" s="44">
        <f>'Mode d''emploi'!$B$29</f>
        <v/>
      </c>
    </row>
    <row r="257" ht="15" customHeight="1" s="33">
      <c r="L257" s="32" t="n"/>
      <c r="Q257" s="44">
        <f>'Mode d''emploi'!$B$29</f>
        <v/>
      </c>
    </row>
    <row r="258" ht="15" customHeight="1" s="33">
      <c r="L258" s="32" t="n"/>
      <c r="Q258" s="44">
        <f>'Mode d''emploi'!$B$29</f>
        <v/>
      </c>
    </row>
    <row r="259" ht="15" customHeight="1" s="33">
      <c r="L259" s="32" t="n"/>
      <c r="Q259" s="44">
        <f>'Mode d''emploi'!$B$29</f>
        <v/>
      </c>
    </row>
    <row r="260" ht="15" customHeight="1" s="33">
      <c r="L260" s="32" t="n"/>
      <c r="Q260" s="44">
        <f>'Mode d''emploi'!$B$29</f>
        <v/>
      </c>
    </row>
    <row r="261" ht="15" customHeight="1" s="33">
      <c r="L261" s="32" t="n"/>
      <c r="Q261" s="44">
        <f>'Mode d''emploi'!$B$29</f>
        <v/>
      </c>
    </row>
    <row r="262" ht="15" customHeight="1" s="33">
      <c r="L262" s="32" t="n"/>
      <c r="Q262" s="44">
        <f>'Mode d''emploi'!$B$29</f>
        <v/>
      </c>
    </row>
    <row r="263" ht="15" customHeight="1" s="33">
      <c r="L263" s="32" t="n"/>
      <c r="Q263" s="44">
        <f>'Mode d''emploi'!$B$29</f>
        <v/>
      </c>
    </row>
    <row r="264" ht="15" customHeight="1" s="33">
      <c r="L264" s="32" t="n"/>
      <c r="Q264" s="44">
        <f>'Mode d''emploi'!$B$29</f>
        <v/>
      </c>
    </row>
    <row r="265" ht="15" customHeight="1" s="33">
      <c r="L265" s="32" t="n"/>
      <c r="Q265" s="44">
        <f>'Mode d''emploi'!$B$29</f>
        <v/>
      </c>
    </row>
    <row r="266" ht="15" customHeight="1" s="33">
      <c r="L266" s="32" t="n"/>
      <c r="Q266" s="44">
        <f>'Mode d''emploi'!$B$29</f>
        <v/>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2026-10-15T08:01:20Z</dcterms:modified>
  <cp:revision>0</cp:revision>
</cp:coreProperties>
</file>