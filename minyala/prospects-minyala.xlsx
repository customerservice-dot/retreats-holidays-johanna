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Demandes RFQ" sheetId="4" state="visible" r:id="rId6"/>
    <sheet name="Groupes Facebook" sheetId="5" state="visible" r:id="rId7"/>
    <sheet name="Plateformes pros" sheetId="6" state="visible" r:id="rId8"/>
    <sheet name="Règles" sheetId="7" state="visible" r:id="rId9"/>
  </sheets>
  <definedNames>
    <definedName function="false" hidden="true" localSheetId="3" name="_xlnm._FilterDatabase" vbProcedure="false">'Demandes RFQ'!$A$1:$N$53</definedName>
    <definedName function="false" hidden="true" localSheetId="1" name="_xlnm._FilterDatabase" vbProcedure="false">Prospects!$A$1:$Q$400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 ref="Q1" authorId="0">
      <text>
        <r>
          <rPr>
            <sz val="10"/>
            <rFont val="Arial"/>
            <family val="2"/>
          </rPr>
          <t xml:space="preserve">Prix pro / déstockage par défaut (onglet Mode d'emploi). Remplacez-le si vous négociez un autre prix avec cette entreprise.</t>
        </r>
      </text>
    </comment>
  </commentList>
</comments>
</file>

<file path=xl/sharedStrings.xml><?xml version="1.0" encoding="utf-8"?>
<sst xmlns="http://schemas.openxmlformats.org/spreadsheetml/2006/main" count="3140" uniqueCount="1620">
  <si>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</si>
  <si>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</si>
  <si>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</si>
  <si>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Au téléphone, proposez de ne plus rappeler et notez tout refus dans Notes. Remplissez seulement les cases jaunes.</t>
  </si>
  <si>
    <t xml:space="preserve">4. Particuliers : pas de liste de personnes (interdit sans leur accord). L'onglet Particuliers liste où les trouver : annonces, forums, foires, publicité.</t>
  </si>
  <si>
    <t xml:space="preserve">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</si>
  <si>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</si>
  <si>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</si>
  <si>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</si>
  <si>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</si>
  <si>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</si>
  <si>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</si>
  <si>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</si>
  <si>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</si>
  <si>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</si>
  <si>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</si>
  <si>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</si>
  <si>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</si>
  <si>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</si>
  <si>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</si>
  <si>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</si>
  <si>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</si>
  <si>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</si>
  <si>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</si>
  <si>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</si>
  <si>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</si>
  <si>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</si>
  <si>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public MINYALA (€/m², site)</t>
  </si>
  <si>
    <t xml:space="preserve">Source : fiche produit pierredegypte.online, 08/10/2026.</t>
  </si>
  <si>
    <t xml:space="preserve">Prix pro / déstockage (€/m² TTC)</t>
  </si>
  <si>
    <t xml:space="preserve">Décision du 12/10/2026 : prix pour les professionnels et les volumes. Modifiez-le ici, la colonne Q de Prospects suit.</t>
  </si>
  <si>
    <t xml:space="preserve">Prix pro HT (TVA 20 %)</t>
  </si>
  <si>
    <t xml:space="preserve">m² vendus (total)</t>
  </si>
  <si>
    <t xml:space="preserve">Chiffre d'affaires TTC (m² × prix de chaque ligne)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</si>
  <si>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</si>
  <si>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</si>
  <si>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</si>
  <si>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</si>
  <si>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</si>
  <si>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</si>
  <si>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</si>
  <si>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</si>
  <si>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</si>
  <si>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</si>
  <si>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</si>
  <si>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Prix €/m² TTC</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</si>
  <si>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</si>
  <si>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</si>
  <si>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</si>
  <si>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</si>
  <si>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</si>
  <si>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</si>
  <si>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</si>
  <si>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</si>
  <si>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</si>
  <si>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</si>
  <si>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</si>
  <si>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</si>
  <si>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</si>
  <si>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</si>
  <si>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</si>
  <si>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</si>
  <si>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</si>
  <si>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</si>
  <si>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</si>
  <si>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</si>
  <si>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</si>
  <si>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</si>
  <si>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</si>
  <si>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</si>
  <si>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</si>
  <si>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</si>
  <si>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</si>
  <si>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</si>
  <si>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</si>
  <si>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</si>
  <si>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</si>
  <si>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</si>
  <si>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</si>
  <si>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</si>
  <si>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</si>
  <si>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</si>
  <si>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</si>
  <si>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</si>
  <si>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</si>
  <si>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</si>
  <si>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</si>
  <si>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</si>
  <si>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</si>
  <si>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</si>
  <si>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</si>
  <si>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</si>
  <si>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</si>
  <si>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</si>
  <si>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</si>
  <si>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</si>
  <si>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</si>
  <si>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 (usage à valider avec lui : finition, gel, glissance, humidité).</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</si>
  <si>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</si>
  <si>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</si>
  <si>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</si>
  <si>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</si>
  <si>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</si>
  <si>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</si>
  <si>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</si>
  <si>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</si>
  <si>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</si>
  <si>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</si>
  <si>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</si>
  <si>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</si>
  <si>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</si>
  <si>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</si>
  <si>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</si>
  <si>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</si>
  <si>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</si>
  <si>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</si>
  <si>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</si>
  <si>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</si>
  <si>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</si>
  <si>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</si>
  <si>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 francilien.</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</si>
  <si>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</si>
  <si>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</si>
  <si>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</si>
  <si>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</si>
  <si>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</si>
  <si>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</si>
  <si>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</si>
  <si>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</si>
  <si>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</si>
  <si>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</si>
  <si>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</si>
  <si>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</si>
  <si>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</si>
  <si>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</si>
  <si>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</si>
  <si>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</si>
  <si>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</si>
  <si>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</si>
  <si>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</si>
  <si>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</si>
  <si>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</si>
  <si>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</si>
  <si>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</si>
  <si>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</si>
  <si>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</si>
  <si>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</si>
  <si>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</si>
  <si>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</si>
  <si>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</si>
  <si>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</si>
  <si>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</si>
  <si>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 (usage à valider avec lui : finition, gel, glissance, humidité).</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</si>
  <si>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</si>
  <si>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</si>
  <si>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</si>
  <si>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</si>
  <si>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27 €/m² TTC (prix pro)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</si>
  <si>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</si>
  <si>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</si>
  <si>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</si>
  <si>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</si>
  <si>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 (usage à valider avec lui : finition, gel, glissance, humidité).</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</si>
  <si>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</si>
  <si>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</si>
  <si>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</si>
  <si>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</si>
  <si>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de teinte crème,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</si>
  <si>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</si>
  <si>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</si>
  <si>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</si>
  <si>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</si>
  <si>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</si>
  <si>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</si>
  <si>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</si>
  <si>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</si>
  <si>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</si>
  <si>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</si>
  <si>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</si>
  <si>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</si>
  <si>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</si>
  <si>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</si>
  <si>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</si>
  <si>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</si>
  <si>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</si>
  <si>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</si>
  <si>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</si>
  <si>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</si>
  <si>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</si>
  <si>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</si>
  <si>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</si>
  <si>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</si>
  <si>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</si>
  <si>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</si>
  <si>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</si>
  <si>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</si>
  <si>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</si>
  <si>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</si>
  <si>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</si>
  <si>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</si>
  <si>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</si>
  <si>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</si>
  <si>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</si>
  <si>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</si>
  <si>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</si>
  <si>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</si>
  <si>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</si>
  <si>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</si>
  <si>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</si>
  <si>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</si>
  <si>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</si>
  <si>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</si>
  <si>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</si>
  <si>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</si>
  <si>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</si>
  <si>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</si>
  <si>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</si>
  <si>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</si>
  <si>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</si>
  <si>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</si>
  <si>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</si>
  <si>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 (usage à valider avec lui : finition, gel, glissance, humidité).</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</si>
  <si>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</si>
  <si>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</si>
  <si>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</si>
  <si>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</si>
  <si>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 (usage à valider avec lui : finition, gel, glissance, humidité).</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</si>
  <si>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</si>
  <si>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</si>
  <si>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</si>
  <si>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</si>
  <si>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 (usage à valider avec lui : finition, gel, glissance, humidité).</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</si>
  <si>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</si>
  <si>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</si>
  <si>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</si>
  <si>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</si>
  <si>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 (usage à valider avec lui : finition, gel, glissance, humidité).</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</si>
  <si>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</si>
  <si>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</si>
  <si>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</si>
  <si>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 (usage à valider avec lui : finition, gel, glissance, humidité).</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</si>
  <si>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</si>
  <si>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</si>
  <si>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</si>
  <si>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 (usage à valider avec lui : finition, gel, glissance, humidité).</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</si>
  <si>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</si>
  <si>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</si>
  <si>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</si>
  <si>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</si>
  <si>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MINYALA peut y être proposé selon finition et pose.</t>
  </si>
  <si>
    <t xml:space="preserve">www.socorebat-95.fr</t>
  </si>
  <si>
    <t xml:space="preserve">09 72 12 39 99</t>
  </si>
  <si>
    <t xml:space="preserve">Agave Paysage</t>
  </si>
  <si>
    <t xml:space="preserve">Ce paysagiste parisien pose des dallages en pierre sur plots ou sur lit de sable pour des terrasses, à vérifier avec lui : un calcaire de 2 cm est déconseillé sur plots sans avis technique.</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</si>
  <si>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</si>
  <si>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</si>
  <si>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</si>
  <si>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 (usage à valider avec lui : finition, gel, glissance, humidité).</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</si>
  <si>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</si>
  <si>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</si>
  <si>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</si>
  <si>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</si>
  <si>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</si>
  <si>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</si>
  <si>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</si>
  <si>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MINYALA peut y être proposé selon finition et pose.</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</si>
  <si>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</si>
  <si>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</si>
  <si>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</si>
  <si>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</si>
  <si>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27 €/m² TTC (prix pro) (usage à valider avec lui : finition, gel, glissance, humidité).</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</si>
  <si>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</si>
  <si>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</si>
  <si>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</si>
  <si>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</si>
  <si>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</si>
  <si>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</si>
  <si>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</si>
  <si>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</si>
  <si>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</si>
  <si>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</si>
  <si>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</si>
  <si>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</si>
  <si>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</si>
  <si>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</si>
  <si>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</si>
  <si>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</si>
  <si>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</si>
  <si>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 (usage à valider avec lui : finition, gel, glissance, humidité).</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</si>
  <si>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</si>
  <si>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</si>
  <si>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</si>
  <si>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</si>
  <si>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</si>
  <si>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</si>
  <si>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</si>
  <si>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</si>
  <si>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</si>
  <si>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proposer MINYALA (pose sur plots déconseillée en 2 cm sans avis technique).</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</si>
  <si>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</si>
  <si>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</si>
  <si>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</si>
  <si>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</si>
  <si>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</si>
  <si>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</si>
  <si>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</si>
  <si>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</si>
  <si>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 (usage à valider avec lui : finition, gel, glissance, humidité).</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</si>
  <si>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</si>
  <si>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</si>
  <si>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</si>
  <si>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</si>
  <si>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</si>
  <si>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</si>
  <si>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</si>
  <si>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</si>
  <si>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</si>
  <si>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</si>
  <si>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</si>
  <si>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</si>
  <si>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</si>
  <si>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</si>
  <si>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</si>
  <si>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</si>
  <si>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</si>
  <si>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</si>
  <si>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</si>
  <si>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</si>
  <si>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</si>
  <si>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</si>
  <si>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</si>
  <si>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</si>
  <si>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</si>
  <si>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</si>
  <si>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</si>
  <si>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</si>
  <si>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</si>
  <si>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</si>
  <si>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</si>
  <si>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</si>
  <si>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</si>
  <si>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</si>
  <si>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</si>
  <si>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</si>
  <si>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</si>
  <si>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</si>
  <si>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</si>
  <si>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</si>
  <si>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</si>
  <si>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</si>
  <si>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</si>
  <si>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</si>
  <si>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</si>
  <si>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 (usage à valider avec lui : finition, gel, glissance, humidité).</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</si>
  <si>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</si>
  <si>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</si>
  <si>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</si>
  <si>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 (usage à valider avec lui : finition, gel, glissance, humidité).</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</si>
  <si>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</si>
  <si>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</si>
  <si>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</si>
  <si>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</si>
  <si>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un usage possible de MINYALA selon finition et pose.</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</si>
  <si>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</si>
  <si>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</si>
  <si>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</si>
  <si>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</si>
  <si>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 (usage à valider avec lui : finition, gel, glissance, humidité).</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</si>
  <si>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</si>
  <si>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</si>
  <si>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</si>
  <si>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</si>
  <si>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MINYALA peut y être proposé selon finition et pose.</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</si>
  <si>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</si>
  <si>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</si>
  <si>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</si>
  <si>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</si>
  <si>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 (usage à valider avec lui : finition, gel, glissance, humidité).</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</si>
  <si>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</si>
  <si>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</si>
  <si>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</si>
  <si>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</si>
  <si>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 (usage à valider avec lui : finition, gel, glissance, humidité).</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</si>
  <si>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</si>
  <si>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</si>
  <si>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</si>
  <si>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</si>
  <si>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 (usage à valider avec lui : finition, gel, glissance, humidité).</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</si>
  <si>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</si>
  <si>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</si>
  <si>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</si>
  <si>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</si>
  <si>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 (usage à valider avec lui : finition, gel, glissance, humidité).</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</si>
  <si>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</si>
  <si>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</si>
  <si>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</si>
  <si>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</si>
  <si>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</si>
  <si>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</si>
  <si>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</si>
  <si>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</si>
  <si>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</si>
  <si>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 (usage à valider avec lui : finition, gel, glissance, humidité).</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</si>
  <si>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</si>
  <si>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</si>
  <si>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</si>
  <si>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</si>
  <si>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</si>
  <si>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</si>
  <si>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</si>
  <si>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</si>
  <si>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</si>
  <si>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</si>
  <si>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</si>
  <si>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</si>
  <si>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</si>
  <si>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</si>
  <si>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</si>
  <si>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 (usage à valider avec lui : finition, gel, glissance, humidité).</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</si>
  <si>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</si>
  <si>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</si>
  <si>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</si>
  <si>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</si>
  <si>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</si>
  <si>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</si>
  <si>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</si>
  <si>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</si>
  <si>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</si>
  <si>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</si>
  <si>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</si>
  <si>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</si>
  <si>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</si>
  <si>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 (usage à valider avec lui : finition, gel, glissance, humidité).</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</si>
  <si>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</si>
  <si>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</si>
  <si>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</si>
  <si>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</si>
  <si>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 (usage à valider avec lui : finition, gel, glissance, humidité).</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</si>
  <si>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</si>
  <si>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</si>
  <si>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</si>
  <si>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</si>
  <si>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</si>
  <si>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</si>
  <si>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</si>
  <si>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</si>
  <si>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</si>
  <si>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</si>
  <si>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</si>
  <si>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</si>
  <si>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</si>
  <si>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</si>
  <si>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</si>
  <si>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</si>
  <si>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</si>
  <si>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</si>
  <si>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 (usage à valider avec lui : finition, gel, glissance, humidité).</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</si>
  <si>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</si>
  <si>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</si>
  <si>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</si>
  <si>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</si>
  <si>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</si>
  <si>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</si>
  <si>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</si>
  <si>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</si>
  <si>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</si>
  <si>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</si>
  <si>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</si>
  <si>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 (usage à valider avec lui : finition, gel, glissance, humidité).</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</si>
  <si>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</si>
  <si>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</si>
  <si>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</si>
  <si>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</si>
  <si>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</si>
  <si>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</si>
  <si>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</si>
  <si>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</si>
  <si>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</si>
  <si>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</si>
  <si>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</si>
  <si>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</si>
  <si>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</si>
  <si>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</si>
  <si>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</si>
  <si>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</si>
  <si>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</si>
  <si>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</si>
  <si>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</si>
  <si>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</si>
  <si>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 (usage à valider avec lui : finition, gel, glissance, humidité).</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</si>
  <si>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</si>
  <si>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</si>
  <si>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 (usage à valider avec lui : finition, gel, glissance, humidité).</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</si>
  <si>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</si>
  <si>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</si>
  <si>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</si>
  <si>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</si>
  <si>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</si>
  <si>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</si>
  <si>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</si>
  <si>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</si>
  <si>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</si>
  <si>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</si>
  <si>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</si>
  <si>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</si>
  <si>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</si>
  <si>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</si>
  <si>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</si>
  <si>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</si>
  <si>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</si>
  <si>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</si>
  <si>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</si>
  <si>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</si>
  <si>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</si>
  <si>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</si>
  <si>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</si>
  <si>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</si>
  <si>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</si>
  <si>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</si>
  <si>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</si>
  <si>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</si>
  <si>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</si>
  <si>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</si>
  <si>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</si>
  <si>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</si>
  <si>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</si>
  <si>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</si>
  <si>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</si>
  <si>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</si>
  <si>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</si>
  <si>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</si>
  <si>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</si>
  <si>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</si>
  <si>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</si>
  <si>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</si>
  <si>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</si>
  <si>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</si>
  <si>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</si>
  <si>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</si>
  <si>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</si>
  <si>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</si>
  <si>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</si>
  <si>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</si>
  <si>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</si>
  <si>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</si>
  <si>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</si>
  <si>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</si>
  <si>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</si>
  <si>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</si>
  <si>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</si>
  <si>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</si>
  <si>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</si>
  <si>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</si>
  <si>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</si>
  <si>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</si>
  <si>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</si>
  <si>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</si>
  <si>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</si>
  <si>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</si>
  <si>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</si>
  <si>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</si>
  <si>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</si>
  <si>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</si>
  <si>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27 €/m² TTC (prix pro).</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</si>
  <si>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</si>
  <si>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</si>
  <si>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</si>
  <si>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</si>
  <si>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 (usage à valider avec lui : finition, gel, glissance, humidité).</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</si>
  <si>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</si>
  <si>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</si>
  <si>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</si>
  <si>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</si>
  <si>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comme MINYALA pourrait compléter sa gamme (usage à valider avec lui : finition, gel, glissance, humidité).</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</si>
  <si>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</si>
  <si>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</si>
  <si>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</si>
  <si>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</si>
  <si>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</si>
  <si>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</si>
  <si>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</si>
  <si>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</si>
  <si>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</si>
  <si>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</si>
  <si>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</si>
  <si>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</si>
  <si>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</si>
  <si>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</si>
  <si>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</si>
  <si>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</si>
  <si>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</si>
  <si>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</si>
  <si>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</si>
  <si>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</si>
  <si>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</si>
  <si>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</si>
  <si>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</si>
  <si>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</si>
  <si>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</si>
  <si>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</si>
  <si>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</si>
  <si>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</si>
  <si>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</si>
  <si>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</si>
  <si>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</si>
  <si>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</si>
  <si>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</si>
  <si>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</si>
  <si>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</si>
  <si>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</si>
  <si>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</si>
  <si>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</si>
  <si>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</si>
  <si>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</si>
  <si>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</si>
  <si>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</si>
  <si>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</si>
  <si>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</si>
  <si>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 (usage à valider avec lui : finition, gel, glissance, humidité).</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</si>
  <si>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</si>
  <si>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</si>
  <si>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</si>
  <si>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</si>
  <si>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 (usage à valider avec lui : finition, gel, glissance, humidité).</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</si>
  <si>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</si>
  <si>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</si>
  <si>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</si>
  <si>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</si>
  <si>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</si>
  <si>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</si>
  <si>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</si>
  <si>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</si>
  <si>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</si>
  <si>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</si>
  <si>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</si>
  <si>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</si>
  <si>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</si>
  <si>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</si>
  <si>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</si>
  <si>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</si>
  <si>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</si>
  <si>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</si>
  <si>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</si>
  <si>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</si>
  <si>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</si>
  <si>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</si>
  <si>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</si>
  <si>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</si>
  <si>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</si>
  <si>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</si>
  <si>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</si>
  <si>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</si>
  <si>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</si>
  <si>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</si>
  <si>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</si>
  <si>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</si>
  <si>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</si>
  <si>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</si>
  <si>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</si>
  <si>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</si>
  <si>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</si>
  <si>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</si>
  <si>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</si>
  <si>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 (usage à valider avec lui : finition, gel, glissance, humidité).</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</si>
  <si>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</si>
  <si>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</si>
  <si>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</si>
  <si>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</si>
  <si>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</si>
  <si>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</si>
  <si>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</si>
  <si>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</si>
  <si>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</si>
  <si>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</si>
  <si>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 (usage à valider avec lui : finition, gel, glissance, humidité).</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</si>
  <si>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</si>
  <si>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</si>
  <si>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</si>
  <si>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</si>
  <si>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</si>
  <si>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</si>
  <si>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</si>
  <si>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</si>
  <si>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</si>
  <si>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</si>
  <si>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</si>
  <si>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</si>
  <si>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</si>
  <si>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</si>
  <si>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</si>
  <si>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 (usage à valider avec lui : finition, gel, glissance, humidité).</t>
  </si>
  <si>
    <t xml:space="preserve">Spa / hammam</t>
  </si>
  <si>
    <t xml:space="preserve">DPS France</t>
  </si>
  <si>
    <t xml:space="preserve">Installateur de hammams maçonnés en Île-de-France dont les cabines ont des bancs en pierre ou en marbre : MINYALA pourrait habiller les sols et les banquettes (usage à valider avec lui : finition, gel, glissance, humidité).</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</si>
  <si>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</si>
  <si>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</si>
  <si>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</si>
  <si>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 (usage à valider avec lui : finition, gel, glissance, humidité).</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</si>
  <si>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</si>
  <si>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</si>
  <si>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</si>
  <si>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</si>
  <si>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</si>
  <si>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</si>
  <si>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</si>
  <si>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</si>
  <si>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</si>
  <si>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</si>
  <si>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</si>
  <si>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</si>
  <si>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</si>
  <si>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</si>
  <si>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</si>
  <si>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</si>
  <si>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</si>
  <si>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</si>
  <si>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</si>
  <si>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</si>
  <si>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</si>
  <si>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</si>
  <si>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</si>
  <si>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</si>
  <si>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</si>
  <si>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</si>
  <si>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</si>
  <si>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</si>
  <si>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</si>
  <si>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</si>
  <si>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</si>
  <si>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</si>
  <si>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</si>
  <si>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</si>
  <si>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</si>
  <si>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</si>
  <si>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</si>
  <si>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</si>
  <si>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</si>
  <si>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</si>
  <si>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</si>
  <si>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</si>
  <si>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</si>
  <si>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 (usage à valider avec lui : finition, gel, glissance, humidité).</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</si>
  <si>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</si>
  <si>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</si>
  <si>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</si>
  <si>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</si>
  <si>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 (usage à valider avec lui : finition, gel, glissance, humidité).</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</si>
  <si>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</si>
  <si>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</si>
  <si>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</si>
  <si>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</si>
  <si>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</si>
  <si>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</si>
  <si>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 (usage à valider avec lui : finition, gel, glissance, humidité).</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</si>
  <si>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</si>
  <si>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</si>
  <si>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</si>
  <si>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</si>
  <si>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 (usage à valider avec lui : finition, gel, glissance, humidité).</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</si>
  <si>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</si>
  <si>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</si>
  <si>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</si>
  <si>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</si>
  <si>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</si>
  <si>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</si>
  <si>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</si>
  <si>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</si>
  <si>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</si>
  <si>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 (usage à valider avec lui : finition, gel, glissance, humidité).</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</si>
  <si>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</si>
  <si>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</si>
  <si>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</si>
  <si>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</si>
  <si>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 (usage à valider avec lui : finition, gel, glissance, humidité).</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</si>
  <si>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</si>
  <si>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</si>
  <si>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</si>
  <si>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</si>
  <si>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</si>
  <si>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</si>
  <si>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</si>
  <si>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</si>
  <si>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</si>
  <si>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</si>
  <si>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</si>
  <si>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</si>
  <si>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</si>
  <si>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</si>
  <si>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</si>
  <si>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</si>
  <si>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</si>
  <si>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</si>
  <si>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</si>
  <si>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</si>
  <si>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</si>
  <si>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</si>
  <si>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</si>
  <si>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</si>
  <si>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</si>
  <si>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</si>
  <si>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</si>
  <si>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</si>
  <si>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</si>
  <si>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</si>
  <si>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</si>
  <si>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</si>
  <si>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</si>
  <si>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</si>
  <si>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</si>
  <si>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</si>
  <si>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</si>
  <si>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</si>
  <si>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</si>
  <si>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</si>
  <si>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</si>
  <si>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</si>
  <si>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</si>
  <si>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</si>
  <si>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</si>
  <si>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</si>
  <si>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</si>
  <si>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</si>
  <si>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 (usage à valider avec lui : finition, gel, glissance, humidité).</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</si>
  <si>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</si>
  <si>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</si>
  <si>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</si>
  <si>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</si>
  <si>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</si>
  <si>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</si>
  <si>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</si>
  <si>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</si>
  <si>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</si>
  <si>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</si>
  <si>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</si>
  <si>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</si>
  <si>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</si>
  <si>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</si>
  <si>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</si>
  <si>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</si>
  <si>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</si>
  <si>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</si>
  <si>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</si>
  <si>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</si>
  <si>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</si>
  <si>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</si>
  <si>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</si>
  <si>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</si>
  <si>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</si>
  <si>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</si>
  <si>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</si>
  <si>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</si>
  <si>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</si>
  <si>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</si>
  <si>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</si>
  <si>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</si>
  <si>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</si>
  <si>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</si>
  <si>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</si>
  <si>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</si>
  <si>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 (usage à valider avec lui : finition, gel, glissance, humidité).</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</si>
  <si>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</si>
  <si>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</si>
  <si>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</si>
  <si>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</si>
  <si>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 (usage à valider avec lui : finition, gel, glissance, humidité).</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</si>
  <si>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</si>
  <si>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</si>
  <si>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</si>
  <si>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</si>
  <si>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 (usage à valider avec lui : finition, gel, glissance, humidité).</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</si>
  <si>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</si>
  <si>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</si>
  <si>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 (usage à valider avec lui : finition, gel, glissance, humidité).</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</si>
  <si>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</si>
  <si>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</si>
  <si>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</si>
  <si>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</si>
  <si>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</si>
  <si>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</si>
  <si>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</si>
  <si>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</si>
  <si>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 (usage à valider avec lui : finition, gel, glissance, humidité).</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</si>
  <si>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</si>
  <si>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</si>
  <si>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</si>
  <si>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</si>
  <si>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</si>
  <si>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</si>
  <si>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</si>
  <si>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</si>
  <si>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</si>
  <si>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</si>
  <si>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</si>
  <si>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</si>
  <si>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</si>
  <si>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 (usage à valider avec lui : finition, gel, glissance, humidité).</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</si>
  <si>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</si>
  <si>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</si>
  <si>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</si>
  <si>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 (usage à valider avec lui : finition, gel, glissance, humidité).</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</si>
  <si>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</si>
  <si>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</si>
  <si>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</si>
  <si>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</si>
  <si>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</si>
  <si>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</si>
  <si>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</si>
  <si>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</si>
  <si>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</si>
  <si>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</si>
  <si>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</si>
  <si>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</si>
  <si>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</si>
  <si>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</si>
  <si>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</si>
  <si>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</si>
  <si>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</si>
  <si>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</si>
  <si>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</si>
  <si>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</si>
  <si>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</si>
  <si>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</si>
  <si>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Une annonce localisée à Gennevilliers ; Vernon seulement quand l'adresse, les horaires et le stock y sont</t>
  </si>
  <si>
    <t xml:space="preserve">Compte Pro obligatoire. Une seule annonce au départ : lot de 25 m² à 875 €, vraies photos sans texte, IDU de la filière REP, pas de lien ni de paiement en ligne Leboncoin pour l'instant. Texte, photos et liste de contrôle : leboncoin.md.</t>
  </si>
  <si>
    <t xml:space="preserve">Compte Pro gratuit ; 50 dépôts offerts au total en Maison &amp; Jardin ; 12 % de commission si paiement en ligne</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</si>
  <si>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</si>
  <si>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</si>
  <si>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</si>
  <si>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</si>
  <si>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</si>
  <si>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une fiche par point de retrait (Gennevilliers, puis Vernon dès que l'adresse est connue)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</si>
  <si>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</si>
  <si>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</si>
  <si>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</si>
  <si>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</si>
  <si>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(zone d'intervention incluant l'Eure / Vernon)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</si>
  <si>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</si>
  <si>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</si>
  <si>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</si>
  <si>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</si>
  <si>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</si>
  <si>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</si>
  <si>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</si>
  <si>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</si>
  <si>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Annonce localisée à Gennevilliers, et une 2e à Vernon (27) dès que l'adresse est connue</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</si>
  <si>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</si>
  <si>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</si>
  <si>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</si>
  <si>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</si>
  <si>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</si>
  <si>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</si>
  <si>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</si>
  <si>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</si>
  <si>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</si>
  <si>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</si>
  <si>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</si>
  <si>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</si>
  <si>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</si>
  <si>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</si>
  <si>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</si>
  <si>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</si>
  <si>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</si>
  <si>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</si>
  <si>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</si>
  <si>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</si>
  <si>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</si>
  <si>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</si>
  <si>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</si>
  <si>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</si>
  <si>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</si>
  <si>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</si>
  <si>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</si>
  <si>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</si>
  <si>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</si>
  <si>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</si>
  <si>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</si>
  <si>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</si>
  <si>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</si>
  <si>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</si>
  <si>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</si>
  <si>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chaque client, sans tri, à laisser un avis après le retrait ou la livraison. Ne jamais rédiger de faux avis ni offrir de contrepartie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</si>
  <si>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</si>
  <si>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</si>
  <si>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</si>
  <si>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</si>
  <si>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</si>
  <si>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</si>
  <si>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</si>
  <si>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</si>
  <si>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</si>
  <si>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</si>
  <si>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</si>
  <si>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</si>
  <si>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</si>
  <si>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</si>
  <si>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</si>
  <si>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</si>
  <si>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</si>
  <si>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</si>
  <si>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</si>
  <si>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</si>
  <si>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</si>
  <si>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</si>
  <si>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Rayons autour de Gennevilliers (92) et de Vernon (27) ; Rouen, Le Havre, Caen</t>
  </si>
  <si>
    <t xml:space="preserve">Mots-clés du kit de vente, section 5 (« pierre naturelle terrasse », « dalle calcaire 30x60 », « pierre calcaire extérieur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</si>
  <si>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</si>
  <si>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</si>
  <si>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</si>
  <si>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</si>
  <si>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</si>
  <si>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</si>
  <si>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</si>
  <si>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</si>
  <si>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</si>
  <si>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</si>
  <si>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</si>
  <si>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</si>
  <si>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</si>
  <si>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</si>
  <si>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</si>
  <si>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</si>
  <si>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</si>
  <si>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</si>
  <si>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</si>
  <si>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</si>
  <si>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</si>
  <si>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</si>
  <si>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</si>
  <si>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propose livraison et pose sur devis à partir de 100 m² ; en dessous,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</si>
  <si>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</si>
  <si>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</si>
  <si>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</si>
  <si>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</si>
  <si>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</si>
  <si>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</si>
  <si>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</si>
  <si>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</si>
  <si>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</si>
  <si>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</si>
  <si>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</si>
  <si>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</si>
  <si>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</si>
  <si>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</si>
  <si>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</si>
  <si>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</si>
  <si>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</si>
  <si>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</si>
  <si>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</si>
  <si>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</si>
  <si>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</si>
  <si>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</si>
  <si>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</si>
  <si>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</si>
  <si>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</si>
  <si>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</si>
  <si>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</si>
  <si>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</si>
  <si>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</si>
  <si>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</si>
  <si>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</si>
  <si>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 puis Vernon (27) dès que l'adresse est connue</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</si>
  <si>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</si>
  <si>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</si>
  <si>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</si>
  <si>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</si>
  <si>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</si>
  <si>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</si>
  <si>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</si>
  <si>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</si>
  <si>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</si>
  <si>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Ne pas payer Premier ni Booster : un compte pro gratuit ne peut répondre à rien, Premier engage 12 mois et les demandes locales portent sur la pose. Au plus : l'essai gratuit de 14 jours, sur Gennevilliers, résilié au 12e jour. Voir allovoisins.md.</t>
  </si>
  <si>
    <t xml:space="preserve">Premier dès 29,99 €/mois (auto-entrepreneur) ou 99,99 € HT/mois (entreprise), engagement 12 mois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</si>
  <si>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</si>
  <si>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</si>
  <si>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pierre seule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</si>
  <si>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</si>
  <si>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</si>
  <si>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</si>
  <si>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</si>
  <si>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</si>
  <si>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</si>
  <si>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</si>
  <si>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pierre naturelle pour sol ou terrasse selon pose : 35 €/m² pierre seule, dès 25 m², à retirer à Gennevilliers ou Vernon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</si>
  <si>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</si>
  <si>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</si>
  <si>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</si>
  <si>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</si>
  <si>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</si>
  <si>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</si>
  <si>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</si>
  <si>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sol, terrasse et abords de piscine en pierre naturelle, selon finition et pose — 35 €/m² pierre seule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</si>
  <si>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</si>
  <si>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</si>
  <si>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</si>
  <si>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</si>
  <si>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</si>
  <si>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</si>
  <si>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</si>
  <si>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</si>
  <si>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</si>
  <si>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</si>
  <si>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</si>
  <si>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</si>
  <si>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ou Vernon. Le tarif pro (27 € TTC) existe désormais, par devis et facture uniquement.</t>
  </si>
  <si>
    <t xml:space="preserve">Correspondance</t>
  </si>
  <si>
    <t xml:space="preserve">Vérifiée ?</t>
  </si>
  <si>
    <t xml:space="preserve">Plateforme</t>
  </si>
  <si>
    <t xml:space="preserve">Demande</t>
  </si>
  <si>
    <t xml:space="preserve">Produit</t>
  </si>
  <si>
    <t xml:space="preserve">Quantité</t>
  </si>
  <si>
    <t xml:space="preserve">Format</t>
  </si>
  <si>
    <t xml:space="preserve">Destination</t>
  </si>
  <si>
    <t xml:space="preserve">Date</t>
  </si>
  <si>
    <t xml:space="preserve">Pourquoi / attention</t>
  </si>
  <si>
    <t xml:space="preserve">Répondu le</t>
  </si>
  <si>
    <t xml:space="preserve">Forte</t>
  </si>
  <si>
    <t xml:space="preserve">Oui</t>
  </si>
  <si>
    <t xml:space="preserve">StoneAdd</t>
  </si>
  <si>
    <t xml:space="preserve">Buy Sunny Marble</t>
  </si>
  <si>
    <t xml:space="preserve">Sunny Marble (catégorie « Egypt Marbles »), donc la pierre calcaire Sunny de Minya</t>
  </si>
  <si>
    <t xml:space="preserve">non précisée</t>
  </si>
  <si>
    <t xml:space="preserve">non précisé</t>
  </si>
  <si>
    <t xml:space="preserve">Autriche (livraisons Autriche et sud de l'Allemagne)</t>
  </si>
  <si>
    <t xml:space="preserve">2026-05-19</t>
  </si>
  <si>
    <t xml:space="preserve">Pierre égyptienne Sunny (région de Minya) : même famille que MINYALA seulement si l'origine Minya est confirmée. L'acheteur est un grossiste qui livre toute l'Autriche et le sud de l'Allemagne, ce qui en fait un débouché européen proche. Il demande si la pierre résiste au gel.</t>
  </si>
  <si>
    <t xml:space="preserve">À étudier</t>
  </si>
  <si>
    <t xml:space="preserve">Ataija Creme Limestone Inquiry</t>
  </si>
  <si>
    <t xml:space="preserve">Calcaire crème Ataija (Portugal) pour terrasse et piscine</t>
  </si>
  <si>
    <t xml:space="preserve">100 m²</t>
  </si>
  <si>
    <t xml:space="preserve">Belgique</t>
  </si>
  <si>
    <t xml:space="preserve">2026-08-17</t>
  </si>
  <si>
    <t xml:space="preserve">Demande de calcaire crème en petite quantité (100 m²) depuis la Belgique, à distance de camion de Gennevilliers. La Minyala peut être proposée comme alternative beige. Attention : l'usage est extérieur (piscine), il faut donc vérifier la résistance au gel et l'antidérapant.</t>
  </si>
  <si>
    <t xml:space="preserve">Alibaba RFQ</t>
  </si>
  <si>
    <t xml:space="preserve">Perfekte Steinfliesen aus Kalkstein und Marmor für Innenräume, Natürliche Kalksteinplatten für Hausrenovierung und Wohnprojekte</t>
  </si>
  <si>
    <t xml:space="preserve">Carreaux de sol en pierre naturelle (calcaire ou marbre) pour l'intérieur et la rénovation</t>
  </si>
  <si>
    <t xml:space="preserve">40 pièces (MOQ en m² demandé)</t>
  </si>
  <si>
    <t xml:space="preserve">Suisse</t>
  </si>
  <si>
    <t xml:space="preserve">affiché « 10 days ago » le 2026-10-12 (vers le 2026-10-02)</t>
  </si>
  <si>
    <t xml:space="preserve">Carreaux de calcaire pour sol intérieur, acheteur en Suisse, pays voisin de la France. Il demande un catalogue et un MOQ en m², ce qui correspond à une vente sur stock à partir de 25 m². Pour répondre sur Alibaba, il faut un abonnement vendeur payant.</t>
  </si>
  <si>
    <t xml:space="preserve">Non (StoneContact bloqué)</t>
  </si>
  <si>
    <t xml:space="preserve">StoneContact</t>
  </si>
  <si>
    <t xml:space="preserve">Beaumaniere Limestone Slabs &amp; Tiles, France Beige Limestone from France (buyer request on the listing)</t>
  </si>
  <si>
    <t xml:space="preserve">Unpolished limestone tile, warm beige, grey or brown, not too light (Beaumaniere given as the reference)</t>
  </si>
  <si>
    <t xml:space="preserve">about 150 m²</t>
  </si>
  <si>
    <t xml:space="preserve">at least 60x30 or 60x40 cm, unpolished</t>
  </si>
  <si>
    <t xml:space="preserve">Rotterdam, Netherlands</t>
  </si>
  <si>
    <t xml:space="preserve">Calcaire beige non poli, format minimum 60x30, 150 m², destination Pays-Bas (Rotterdam) : correspond très bien à MINYALA 30x60 en stock. Mais la demande n'est pas datée et est probablement ancienne.</t>
  </si>
  <si>
    <t xml:space="preserve">Sinai Pearl Grey Limestone Slabs&amp;Tiles from Egypt</t>
  </si>
  <si>
    <t xml:space="preserve">Sinai Pearl Grey limestone (Egyptian) tiles, with a sample requested before ordering</t>
  </si>
  <si>
    <t xml:space="preserve">150 m²</t>
  </si>
  <si>
    <t xml:space="preserve">France (clients in France and the UK)</t>
  </si>
  <si>
    <t xml:space="preserve">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</si>
  <si>
    <t xml:space="preserve">Possible</t>
  </si>
  <si>
    <t xml:space="preserve">Marble Slabs Inquiry</t>
  </si>
  <si>
    <t xml:space="preserve">Tranches de marbre, environ 150 m², achat sur stock</t>
  </si>
  <si>
    <t xml:space="preserve">environ 150 m²</t>
  </si>
  <si>
    <t xml:space="preserve">2026-07-15</t>
  </si>
  <si>
    <t xml:space="preserve">L'acheteur est en France et veut environ 150 m² disponibles en stock, avec visite sur place. Un stock à Gennevilliers convient très bien sur la logistique. En revanche, il cherche du « marbre » en tranches et non des carreaux 30×60 : à proposer comme alternative.</t>
  </si>
  <si>
    <t xml:space="preserve">go4WorldBusiness</t>
  </si>
  <si>
    <t xml:space="preserve">Wanted : Marble</t>
  </si>
  <si>
    <t xml:space="preserve">Marbre blanc ou crème, dimensions sur mesure</t>
  </si>
  <si>
    <t xml:space="preserve">1 conteneur 20'</t>
  </si>
  <si>
    <t xml:space="preserve">sur mesure</t>
  </si>
  <si>
    <t xml:space="preserve">Espagne</t>
  </si>
  <si>
    <t xml:space="preserve">2026-07-09</t>
  </si>
  <si>
    <t xml:space="preserve">Acheteur espagnol qui cherche du marbre crème et préfère un fournisseur européen, ce qui avantage un vendeur basé en France. Le volume (1 conteneur 20') dépasse sans doute le stock, et le paiement se fait FOB par virement.</t>
  </si>
  <si>
    <t xml:space="preserve">Wanted : Stone Articles Like Marble, Granite, Limestone</t>
  </si>
  <si>
    <t xml:space="preserve">Articles en pierre (marbre, granit, calcaire, ardoise) pour la construction et la revente (HS 680299)</t>
  </si>
  <si>
    <t xml:space="preserve">2026-09-29</t>
  </si>
  <si>
    <t xml:space="preserve">Acheteur en France qui inclut le calcaire, pour la revente et la distribution. Le produit reste vague (articles décoratifs) et porte sur 1 conteneur 20'. La proximité est un atout.</t>
  </si>
  <si>
    <t xml:space="preserve">Wanted : Natural Stones Like Sandstone, Limestone</t>
  </si>
  <si>
    <t xml:space="preserve">Grès, calcaire et mosaïques de pierre naturelle, tailles sur mesure</t>
  </si>
  <si>
    <t xml:space="preserve">Allemagne</t>
  </si>
  <si>
    <t xml:space="preserve">2026-06-26</t>
  </si>
  <si>
    <t xml:space="preserve">Acheteur allemand qui inclut le calcaire en tailles sur mesure. La quantité (1 conteneur 20') et la couleur ne sont pas précisées. L'annonce, du 26 juin, approche de sa date d'expiration.</t>
  </si>
  <si>
    <t xml:space="preserve">Buy Crema Marfil tiles 305x305x1cm Standard Range</t>
  </si>
  <si>
    <t xml:space="preserve">Carreaux de marbre beige Crema Marfil 30,5×30,5×1 cm, polis</t>
  </si>
  <si>
    <t xml:space="preserve">30,5×30,5×1 cm</t>
  </si>
  <si>
    <t xml:space="preserve">2026-04-18</t>
  </si>
  <si>
    <t xml:space="preserve">Carreaux de marbre beige demandés depuis l'Espagne, avec une question sur le stock. Le format (30,5×30,5×1 cm) et la pierre (espagnole) ne sont pas les mêmes que la Minyala 30×60×2. À proposer comme alternative. La demande date d'avril.</t>
  </si>
  <si>
    <t xml:space="preserve">Buy Moscato Beige Marble</t>
  </si>
  <si>
    <t xml:space="preserve">Marbre beige Moscato (Espagne)</t>
  </si>
  <si>
    <t xml:space="preserve">Irlande</t>
  </si>
  <si>
    <t xml:space="preserve">2026-09-12</t>
  </si>
  <si>
    <t xml:space="preserve">Pierre beige, acheteur en Irlande (UE). La demande vise une référence espagnole précise et ne donne ni format ni quantité.</t>
  </si>
  <si>
    <t xml:space="preserve">Buy THALA BEIGE Marbles</t>
  </si>
  <si>
    <t xml:space="preserve">Thala Beige (pierre beige tunisienne)</t>
  </si>
  <si>
    <t xml:space="preserve">Italie</t>
  </si>
  <si>
    <t xml:space="preserve">2026-08-29</t>
  </si>
  <si>
    <t xml:space="preserve">Pierre beige nord-africaine du même registre que la Minyala, acheteur en Italie. La demande est générique et sans quantité.</t>
  </si>
  <si>
    <t xml:space="preserve">Buy Sinai Pearl Limestone Stairs and Steps</t>
  </si>
  <si>
    <t xml:space="preserve">Marches et escaliers en calcaire égyptien Sinai Pearl</t>
  </si>
  <si>
    <t xml:space="preserve">marches (non précisé)</t>
  </si>
  <si>
    <t xml:space="preserve">Kosovo</t>
  </si>
  <si>
    <t xml:space="preserve">2026-09-09</t>
  </si>
  <si>
    <t xml:space="preserve">Calcaire égyptien, acheteur au Kosovo (Europe hors UE). Il cherche des marches et non des carreaux 30×60, et la Sinai Pearl vient du Sinaï, pas de Minya.</t>
  </si>
  <si>
    <t xml:space="preserve">Buy Turkey Ivory Travertine Slab</t>
  </si>
  <si>
    <t xml:space="preserve">Travertin ivoire (Turquie), 120 m², livraison à Kalamata</t>
  </si>
  <si>
    <t xml:space="preserve">120 m²</t>
  </si>
  <si>
    <t xml:space="preserve">Kalamata, Grèce</t>
  </si>
  <si>
    <t xml:space="preserve">2026-06-05</t>
  </si>
  <si>
    <t xml:space="preserve">Pierre claire en petite quantité (120 m²) pour la Grèce, dans l'UE. C'est du travertin et non du calcaire, et le transport jusqu'à Kalamata coûte cher depuis Paris.</t>
  </si>
  <si>
    <t xml:space="preserve">Beige Travertine KARAMAN Inquiry</t>
  </si>
  <si>
    <t xml:space="preserve">Travertin beige de Karaman : dalles 1,2×40,6×61, margelles 3×33×61 et angles 3×48×48</t>
  </si>
  <si>
    <t xml:space="preserve">non précisée (importateur d'environ 40 conteneurs par an)</t>
  </si>
  <si>
    <t xml:space="preserve">1,2×40,6×61 cm ; 3×33×61 cm ; 3×48×48 cm</t>
  </si>
  <si>
    <t xml:space="preserve">France (Sud-Ouest)</t>
  </si>
  <si>
    <t xml:space="preserve">2026-03-27</t>
  </si>
  <si>
    <t xml:space="preserve">Importateur français de pierre beige installé dans le Sud-Ouest (environ 40 conteneurs par an), insatisfait de ses fournisseurs actuels. C'est un bon prospect commercial, mais il demande du travertin turc dans des formats précis, pas du calcaire 30×60.</t>
  </si>
  <si>
    <t xml:space="preserve">Galala Extra - Galala Marble Quarry</t>
  </si>
  <si>
    <t xml:space="preserve">Commercial-grade Galala Extra (Egyptian beige), bush-hammered top face, other faces sawn</t>
  </si>
  <si>
    <t xml:space="preserve">about 3,950 m² in total (2,570 m² of it in 60x30)</t>
  </si>
  <si>
    <t xml:space="preserve">60x30x7.5, 60x25x7.5, 30x30x7.5, 100x30x7.5, 100x50x7.5 cm</t>
  </si>
  <si>
    <t xml:space="preserve">France (French project)</t>
  </si>
  <si>
    <t xml:space="preserve">Pierre beige égyptienne pour un projet en France avec un gros volume en 60x30, mais l'épaisseur demandée est de 7,5 cm (dallage), contre 2 cm pour MINYALA. Demande non datée.</t>
  </si>
  <si>
    <t xml:space="preserve">Sinai Pearl Limestone Tiles &amp; Slabs, Grey Limestone Egypt Polished Floor Covering Tiles, Walling Tiles from Egypt</t>
  </si>
  <si>
    <t xml:space="preserve">Honed Sinai Pearl limestone tiles</t>
  </si>
  <si>
    <t xml:space="preserve">30 m²</t>
  </si>
  <si>
    <t xml:space="preserve">600x400x15 mm, honed</t>
  </si>
  <si>
    <t xml:space="preserve">Cardiff, Wales, UK</t>
  </si>
  <si>
    <t xml:space="preserve">Petit volume (30 m², au-dessus du minimum de 25 m²) de calcaire égyptien adouci livré au Royaume-Uni : MINYALA peut proposer le 30x60x2 comme alternative au 60x40x1,5. Demande non datée.</t>
  </si>
  <si>
    <t xml:space="preserve">Buyers from United Kingdom - Global Stone Buyer Center (RFQ for Oman White Limestone)</t>
  </si>
  <si>
    <t xml:space="preserve">Oman White limestone, as slabs or cut-to-size tiles</t>
  </si>
  <si>
    <t xml:space="preserve">65 m²</t>
  </si>
  <si>
    <t xml:space="preserve">slabs or cut-to-size, 20 mm</t>
  </si>
  <si>
    <t xml:space="preserve">London, UK</t>
  </si>
  <si>
    <t xml:space="preserve">May 14, 2026</t>
  </si>
  <si>
    <t xml:space="preserve">Demande récente (mai 2026), 65 m² en 20 mm livrés à Londres : volume et épaisseur conviennent. La couleur demandée est blanche (Oman White), pas crème, donc MINYALA ne peut être proposé qu'en alternative.</t>
  </si>
  <si>
    <t xml:space="preserve">Westhill Limestone Honed Tiles from United Kingdom</t>
  </si>
  <si>
    <t xml:space="preserve">Honed beige limestone tiles (Westhill), larger formats around 1000x500 also asked about</t>
  </si>
  <si>
    <t xml:space="preserve">about 63 m²</t>
  </si>
  <si>
    <t xml:space="preserve">honed; asks about about 1000x500</t>
  </si>
  <si>
    <t xml:space="preserve">page dated 2025-02-08 (request date not confirmed)</t>
  </si>
  <si>
    <t xml:space="preserve">Calcaire beige adouci pour une rénovation à Londres, environ 63 m² : petit volume compatible avec le stock. L'acheteur demande un prix au m² ; il vise une pierre précise et peut-être un grand format.</t>
  </si>
  <si>
    <t xml:space="preserve">Beige Limestone Floor Tiles from United Kingdom</t>
  </si>
  <si>
    <t xml:space="preserve">Polished grey-beige Jura limestone</t>
  </si>
  <si>
    <t xml:space="preserve">150 m (as written by the buyer)</t>
  </si>
  <si>
    <t xml:space="preserve">60x40 cm, polished</t>
  </si>
  <si>
    <t xml:space="preserve">Calcaire beige, 150 m² sur une annonce britannique : MINYALA pourrait être proposé en 30x60 à la place du 60x40 Jura poli. Destination non confirmée et demande non datée.</t>
  </si>
  <si>
    <t xml:space="preserve">Sunny Menia Marble Slabs, Tiles from Egypt</t>
  </si>
  <si>
    <t xml:space="preserve">Slabs and tiles 2-4 cm thick in various formats, 'specially Sinai Pearl or similar' (on a Sunny Menia listing)</t>
  </si>
  <si>
    <t xml:space="preserve">2, 3 and 4 cm; various formats</t>
  </si>
  <si>
    <t xml:space="preserve">Barcelona, Spain (CIF)</t>
  </si>
  <si>
    <t xml:space="preserve">Acheteur espagnol (CIF Barcelone) intéressé par la pierre beige égyptienne « Sinai Pearl ou similaire » sur une annonce Sunny Menia : même famille que MINYALA seulement si l'origine Minya est confirmée. Formats variés de 2 à 4 cm ; demande non datée.</t>
  </si>
  <si>
    <t xml:space="preserve">Galala Beige Marble Tiles &amp; Slab from Egypt</t>
  </si>
  <si>
    <t xml:space="preserve">Galala (Egyptian beige), 80x80x2 honed tiles filled with epoxy resin</t>
  </si>
  <si>
    <t xml:space="preserve">7,000 m²</t>
  </si>
  <si>
    <t xml:space="preserve">80x80x2 cm, honed, epoxy-filled</t>
  </si>
  <si>
    <t xml:space="preserve">Spain (Spanish company)</t>
  </si>
  <si>
    <t xml:space="preserve">Projet espagnol de 7 000 m² en pierre beige égyptienne de 2 cm adoucie : la teinte et l'épaisseur conviennent, mais le format 80x80 et le volume dépassent le stock. Demande non datée.</t>
  </si>
  <si>
    <t xml:space="preserve">Dijon Limestone Honed Finish Floor Tiles from United Kingdom</t>
  </si>
  <si>
    <t xml:space="preserve">Dijon beige limestone for exterior paving</t>
  </si>
  <si>
    <t xml:space="preserve">2,000 m²</t>
  </si>
  <si>
    <t xml:space="preserve">60x30, 60x20, 60x15, 40x40 cm; 5 cm</t>
  </si>
  <si>
    <t xml:space="preserve">Spain (company located in Spain)</t>
  </si>
  <si>
    <t xml:space="preserve">Calcaire beige en 60x30 demandé par une société espagnole d'import-export (2 000 m²), mais pour du dallage extérieur en 5 cm : l'épaisseur ne correspond pas aux 2 cm de MINYALA. Demande non datée.</t>
  </si>
  <si>
    <t xml:space="preserve">Global Stone Buyer Center (RFQ for Portuguese Moleanos Beige Limestone)</t>
  </si>
  <si>
    <t xml:space="preserve">Cut-to-size honed tiles in Moleanos Beige limestone (Portugal)</t>
  </si>
  <si>
    <t xml:space="preserve">cut-to-size, honed</t>
  </si>
  <si>
    <t xml:space="preserve">Russia</t>
  </si>
  <si>
    <t xml:space="preserve">May 26, 2026</t>
  </si>
  <si>
    <t xml:space="preserve">Calcaire beige adouci sur mesure, demande récente (mai 2026), mais l'acheteur veut du Moleanos portugais et livraison en Russie (EXW). La substitution par MINYALA est peu probable et le volume (2 000 m²) dépasse le stock.</t>
  </si>
  <si>
    <t xml:space="preserve">Sinai Pearl Limestone - Tumbled Limestone - Egyptian Limestone Supplier from Egypt</t>
  </si>
  <si>
    <t xml:space="preserve">Sinai Pearl limestone tiles (Egyptian)</t>
  </si>
  <si>
    <t xml:space="preserve">100 to 200 m²</t>
  </si>
  <si>
    <t xml:space="preserve">preferably 600x900 mm</t>
  </si>
  <si>
    <t xml:space="preserve">Petit volume (100 à 200 m²) de calcaire égyptien, adapté à un stock disponible. Format souhaité 60x90, destination non indiquée, demande non datée.</t>
  </si>
  <si>
    <t xml:space="preserve">Sinai Pearl Limestone - Beige Limestone</t>
  </si>
  <si>
    <t xml:space="preserve">Sinai Pearl limestone (Egyptian), for a trader's client</t>
  </si>
  <si>
    <t xml:space="preserve">4,000 m²</t>
  </si>
  <si>
    <t xml:space="preserve">Négociant qui cherche du calcaire beige égyptien pour un client : piste pour proposer MINYALA en alternative, mais 4 000 m² dépasse probablement le stock. Destination et date non indiquées.</t>
  </si>
  <si>
    <t xml:space="preserve">Buyers from France - Global Stone Buyer Center (RFQ for beige sandstone flooring)</t>
  </si>
  <si>
    <t xml:space="preserve">Beige sandstone flooring with a natural surface (photos attached)</t>
  </si>
  <si>
    <t xml:space="preserve">about 300 m²</t>
  </si>
  <si>
    <t xml:space="preserve">Aug 21, 2025</t>
  </si>
  <si>
    <t xml:space="preserve">Acheteur en France, environ 300 m² de dallage beige : MINYALA pourrait être proposé comme alternative calcaire. La demande vise du grès et date d'août 2025, juste au-delà de 12 mois.</t>
  </si>
  <si>
    <t xml:space="preserve">Buyers from France - Global Stone Buyer Center (RFQ for Buffon Banc Limestone)</t>
  </si>
  <si>
    <t xml:space="preserve">Buffon Banc limestone (French beige limestone); photos and price per m² requested</t>
  </si>
  <si>
    <t xml:space="preserve">July 2025</t>
  </si>
  <si>
    <t xml:space="preserve">Acheteur français de calcaire beige : on peut lui proposer MINYALA comme alternative avec retrait à Gennevilliers ou Vernon, ou livraison sur devis dès 100 m². Il vise toutefois une pierre française précise, et la demande date de juillet 2025.</t>
  </si>
  <si>
    <t xml:space="preserve">Buyers from Ireland - Global Stone Buyer Center (RFQ for Jerusalem Gold Limestone tiles and cobbles)</t>
  </si>
  <si>
    <t xml:space="preserve">Jerusalem Gold limestone: sanded exterior slabs, kerbs, tumbled cobbles (landscaping)</t>
  </si>
  <si>
    <t xml:space="preserve">a few hundred metres</t>
  </si>
  <si>
    <t xml:space="preserve">sanded finish</t>
  </si>
  <si>
    <t xml:space="preserve">Ireland</t>
  </si>
  <si>
    <t xml:space="preserve">Aug 27, 2025</t>
  </si>
  <si>
    <t xml:space="preserve">Calcaire doré-beige pour l'extérieur en Irlande, « quelques centaines de mètres » : MINYALA peut être proposé pour les dalles. Il s'agit surtout d'aménagement paysager, et la demande date d'août 2025.</t>
  </si>
  <si>
    <t xml:space="preserve">Faible</t>
  </si>
  <si>
    <t xml:space="preserve">Oui (corrigée)</t>
  </si>
  <si>
    <t xml:space="preserve">Sunny Beige Marble Tiles Quotation</t>
  </si>
  <si>
    <t xml:space="preserve">Carreaux de Sunny Beige égyptien en petit format (2×2)</t>
  </si>
  <si>
    <t xml:space="preserve">2×2 (unité non précisée)</t>
  </si>
  <si>
    <t xml:space="preserve">États-Unis</t>
  </si>
  <si>
    <t xml:space="preserve">2026-05-06</t>
  </si>
  <si>
    <t xml:space="preserve">Famille Sunny de Minya (proche de MINYALA seulement si l'origine Minya est confirmée), mais l'acheteur est aux États-Unis et demande de très petits formats « 2×2 » (unité non précisée) : destination lointaine et format sans rapport.</t>
  </si>
  <si>
    <t xml:space="preserve">Bulk Inquiry - 11000 M2 Beige Marble Slabs 60x120cmx2cm EXW Factory</t>
  </si>
  <si>
    <t xml:space="preserve">Plaques de marbre beige clair/crème 60×120×2 cm pour façade, type Silvia Menia ou Sunny Light</t>
  </si>
  <si>
    <t xml:space="preserve">11 000 m²</t>
  </si>
  <si>
    <t xml:space="preserve">60×120×2 cm</t>
  </si>
  <si>
    <t xml:space="preserve">Égypte</t>
  </si>
  <si>
    <t xml:space="preserve">2026-08-31</t>
  </si>
  <si>
    <t xml:space="preserve">La pierre de référence vient de Minya (lien avec MINYALA à confirmer), mais l'acheteur est en Égypte, achète EXW usine et veut 11 000 m² en 60×120. Sans rapport avec un stock de 30×60 à Paris.</t>
  </si>
  <si>
    <t xml:space="preserve">DIY Interlock Modern Outdoor Anti-slip Stone Deck Tile Floor Marble Tile Limestone Deck Tile Stone ...</t>
  </si>
  <si>
    <t xml:space="preserve">Dalles clipsables en travertin beige 300×300×20 sur base plastique (réf. fournisseur PBST-008)</t>
  </si>
  <si>
    <t xml:space="preserve">155 pièces</t>
  </si>
  <si>
    <t xml:space="preserve">300×300×20 mm (10 mm de pierre et 10 mm de plastique)</t>
  </si>
  <si>
    <t xml:space="preserve">Londres, Royaume-Uni</t>
  </si>
  <si>
    <t xml:space="preserve">affiché « 1 days ago » le 2026-10-12</t>
  </si>
  <si>
    <t xml:space="preserve">Destination Londres et petite quantité, mais l'acheteur veut un produit précis : des dalles de travertin clipsables sur support plastique, différentes de la Minyala.</t>
  </si>
  <si>
    <t xml:space="preserve">bathroom tiles walls and floors</t>
  </si>
  <si>
    <t xml:space="preserve">Grès cérame pleine masse aspect pierre, mat, R10, rectifié (pas de pierre naturelle)</t>
  </si>
  <si>
    <t xml:space="preserve">26 m²</t>
  </si>
  <si>
    <t xml:space="preserve">800×800×10 mm</t>
  </si>
  <si>
    <t xml:space="preserve">Portugal</t>
  </si>
  <si>
    <t xml:space="preserve">affiché « 4 days ago » le 2026-10-12</t>
  </si>
  <si>
    <t xml:space="preserve">Petite quantité (26 m²) au Portugal, mais l'acheteur veut du grès cérame aspect pierre en 80×80, pas de la pierre naturelle : ne correspond pas.</t>
  </si>
  <si>
    <t xml:space="preserve">YDSTONE Beige Tumbled French Pattern Travertine Tile Limestone for Indoor Outdoor Staircases ...</t>
  </si>
  <si>
    <t xml:space="preserve">Pavés de travertin extérieurs pour zones humides, adoucis</t>
  </si>
  <si>
    <t xml:space="preserve">au moins 300×600 mm, épaisseur 30 mm minimum</t>
  </si>
  <si>
    <t xml:space="preserve">Perth, Australie (compte acheteur aux États-Unis)</t>
  </si>
  <si>
    <t xml:space="preserve">affiché « 5 days ago » le 2026-10-12</t>
  </si>
  <si>
    <t xml:space="preserve">Pierre beige en format proche du 30×60, mais pour l'Australie (Perth) et en 30 mm minimum, alors que MINYALA fait 20 mm : ne correspond pas.</t>
  </si>
  <si>
    <t xml:space="preserve">TradeKey</t>
  </si>
  <si>
    <t xml:space="preserve">DEMANDE PRIX</t>
  </si>
  <si>
    <t xml:space="preserve">Plaque de marbre 60×70 cm pour une salle d'exposition</t>
  </si>
  <si>
    <t xml:space="preserve">1 à 10 plaques, puis prix au m²</t>
  </si>
  <si>
    <t xml:space="preserve">60×70 cm</t>
  </si>
  <si>
    <t xml:space="preserve">2026-09-01</t>
  </si>
  <si>
    <t xml:space="preserve">Acheteur en France qui veut un prix livré, mais la quantité est minime (1 à 10 plaques) et le format 60×70 diffère du 30×60. Réponse réservée aux membres payants. Les dates TradeKey semblent rafraîchies.</t>
  </si>
  <si>
    <t xml:space="preserve">Floor tiles</t>
  </si>
  <si>
    <t xml:space="preserve">Carreaux de sol (tags : limestone, marble, travertine, slate…)</t>
  </si>
  <si>
    <t xml:space="preserve">Royaume-Uni</t>
  </si>
  <si>
    <t xml:space="preserve">2026-10-08</t>
  </si>
  <si>
    <t xml:space="preserve">Acheteur au Royaume-Uni, mais la demande se résume à « I want to buy floor tiles ». Aucune spécification, et la réponse est réservée aux membres Premium.</t>
  </si>
  <si>
    <t xml:space="preserve">Wanted : Natural Stones Like Sawn And Tumbled Finish</t>
  </si>
  <si>
    <t xml:space="preserve">Dalles 500×500×30 sciées et vieillies : travertin beige 640 m², gris foncé 447 m², jaune cristal 521 m²</t>
  </si>
  <si>
    <t xml:space="preserve">640 m² (beige), plus d'autres teintes</t>
  </si>
  <si>
    <t xml:space="preserve">500×500×30 mm</t>
  </si>
  <si>
    <t xml:space="preserve">Oman</t>
  </si>
  <si>
    <t xml:space="preserve">2026-07-21</t>
  </si>
  <si>
    <t xml:space="preserve">Pierre beige vieillie, mais l'acheteur est à Oman, loin de l'Europe, et demande du 50×50×3 cm.</t>
  </si>
  <si>
    <t xml:space="preserve">Wanted : Natural Stone Like Sandstone, Limestone, Natural Stones</t>
  </si>
  <si>
    <t xml:space="preserve">Grès et calcaire sur mesure, noir, brun ou gris</t>
  </si>
  <si>
    <t xml:space="preserve">Split, Croatie</t>
  </si>
  <si>
    <t xml:space="preserve">2026-09-03</t>
  </si>
  <si>
    <t xml:space="preserve">Calcaire pour l'Europe (Split, Croatie), mais les couleurs voulues sont sombres (noir, brun, gris) et le paiement se fait par L/C pour 1 conteneur.</t>
  </si>
  <si>
    <t xml:space="preserve">Request sample for Limestone Beige Split Face</t>
  </si>
  <si>
    <t xml:space="preserve">Échantillon de parement en calcaire beige éclaté (Bulgarie)</t>
  </si>
  <si>
    <t xml:space="preserve">échantillon</t>
  </si>
  <si>
    <t xml:space="preserve">parement éclaté</t>
  </si>
  <si>
    <t xml:space="preserve">2026-06-08</t>
  </si>
  <si>
    <t xml:space="preserve">Calcaire beige pour le Royaume-Uni, mais il s'agit d'un parement mural éclaté et seulement d'une demande d'échantillon.</t>
  </si>
  <si>
    <t xml:space="preserve">Buyers from France - Global Stone Buyer Center (RFQ for limestone stone veneer)</t>
  </si>
  <si>
    <t xml:space="preserve">Glued stone veneer in Anstrude Clair and Massangis Clair limestone</t>
  </si>
  <si>
    <t xml:space="preserve">veneer</t>
  </si>
  <si>
    <t xml:space="preserve">September 2025</t>
  </si>
  <si>
    <t xml:space="preserve">Acheteur en France, mais le produit demandé est un placage collé en pierres françaises précises (Anstrude, Massangis), pas du carrelage 30x60.</t>
  </si>
  <si>
    <t xml:space="preserve">Buyers from Germany - Global Stone Buyer Center (Inquire About Verona Beige Marble)</t>
  </si>
  <si>
    <t xml:space="preserve">Verona Beige marble, regular supply wanted</t>
  </si>
  <si>
    <t xml:space="preserve">regular supply (no quantity stated)</t>
  </si>
  <si>
    <t xml:space="preserve">Germany</t>
  </si>
  <si>
    <t xml:space="preserve">Jul 23, 2026</t>
  </si>
  <si>
    <t xml:space="preserve">Importateur allemand qui cherche une pierre beige en approvisionnement régulier : on peut le contacter, mais il demande un marbre précis (Verona Beige, Pakistan), pas du calcaire égyptien.</t>
  </si>
  <si>
    <t xml:space="preserve">Buyers from Portugal - Global Stone Buyer Center (RFQ for Victory Beige Marble)</t>
  </si>
  <si>
    <t xml:space="preserve">Victory Beige marble slabs, 2 cm, honed</t>
  </si>
  <si>
    <t xml:space="preserve">slabs, 2 cm, honed</t>
  </si>
  <si>
    <t xml:space="preserve">Oct 8, 2026</t>
  </si>
  <si>
    <t xml:space="preserve">Demande très récente (oct. 2026) d'une pierre beige de 2 cm adoucie au Portugal, mais en tranches et en marbre précis : substitution par du carrelage 30x60 peu probable.</t>
  </si>
  <si>
    <t xml:space="preserve">Buyers from Italy - Global Stone Buyer Center (Caliza Capri Limestone)</t>
  </si>
  <si>
    <t xml:space="preserve">Caliza Capri limestone blocks (about 2 for a trial)</t>
  </si>
  <si>
    <t xml:space="preserve">about 2 blocks for a trial</t>
  </si>
  <si>
    <t xml:space="preserve">blocks</t>
  </si>
  <si>
    <t xml:space="preserve">Italy</t>
  </si>
  <si>
    <t xml:space="preserve">Aug 4, 2026</t>
  </si>
  <si>
    <t xml:space="preserve">Acheteur en Italie (août 2026), mais il demande des blocs d'un calcaire précis : sans intérêt pour un stock de carreaux.</t>
  </si>
  <si>
    <t xml:space="preserve">[RFQ]Inquire About Galala Marble, Black Granite (Buyers from Bahrain)</t>
  </si>
  <si>
    <t xml:space="preserve">Polished Galala marble (Egypt origin): flooring and wall cladding</t>
  </si>
  <si>
    <t xml:space="preserve">600x600x20 mm (floor); 1200x600 and 1500x600 mm (cladding)</t>
  </si>
  <si>
    <t xml:space="preserve">Bahrain</t>
  </si>
  <si>
    <t xml:space="preserve">July 2026</t>
  </si>
  <si>
    <t xml:space="preserve">Pierre beige égyptienne demandée en juillet 2026, mais destination lointaine (Bahreïn), finition polie et formats 60x60 et 120x60 : peu adapté à un stock en France.</t>
  </si>
  <si>
    <t xml:space="preserve">Buyers from Kuwait - Global Stone Buyer Center (Turkish light limestone)</t>
  </si>
  <si>
    <t xml:space="preserve">Turkish light limestone, off-white, honed tiles</t>
  </si>
  <si>
    <t xml:space="preserve">about 2,000 m²</t>
  </si>
  <si>
    <t xml:space="preserve">40x80x3 cm, honed</t>
  </si>
  <si>
    <t xml:space="preserve">Kuwait</t>
  </si>
  <si>
    <t xml:space="preserve">Mar 9, 2026</t>
  </si>
  <si>
    <t xml:space="preserve">Calcaire clair adouci, 2 000 m² (mars 2026), mais destination Koweït, origine turque demandée et épaisseur 3 cm.</t>
  </si>
  <si>
    <t xml:space="preserve">Buyers from Kuwait - Global Stone Buyer Center (Kota Beige Limestone)</t>
  </si>
  <si>
    <t xml:space="preserve">Kota Beige limestone (India) for exterior walls</t>
  </si>
  <si>
    <t xml:space="preserve">60x120x3 cm</t>
  </si>
  <si>
    <t xml:space="preserve">July 2026 (Jul 11, 2026)</t>
  </si>
  <si>
    <t xml:space="preserve">Calcaire beige, 100 m², mais destination Koweït, format 60x120x3 et pierre indienne précise.</t>
  </si>
  <si>
    <t xml:space="preserve">Buyers from United States - Global Stone Buyer Center (Jura Beige Limestone)</t>
  </si>
  <si>
    <t xml:space="preserve">Jura Beige limestone, large-format tiles and slabs, leather finish, interior flooring</t>
  </si>
  <si>
    <t xml:space="preserve">about 10,000 sq ft</t>
  </si>
  <si>
    <t xml:space="preserve">24x48 in, 1/2 in, leather finish</t>
  </si>
  <si>
    <t xml:space="preserve">United States</t>
  </si>
  <si>
    <t xml:space="preserve">Calcaire beige chaud pour sol intérieur (juillet 2026), mais destination États-Unis, format 24x48 pouces et grand volume.</t>
  </si>
  <si>
    <t xml:space="preserve">Natural Stone Buyers from Qatar (Limra Limestone, villa in Doha)</t>
  </si>
  <si>
    <t xml:space="preserve">Cut-to-size Limra limestone for a villa exterior</t>
  </si>
  <si>
    <t xml:space="preserve">about 2,288 m²</t>
  </si>
  <si>
    <t xml:space="preserve">cut-to-size</t>
  </si>
  <si>
    <t xml:space="preserve">Doha, Qatar</t>
  </si>
  <si>
    <t xml:space="preserve">Sep 29, 2026</t>
  </si>
  <si>
    <t xml:space="preserve">Demande récente (29 sept. 2026) mais destination lointaine (Doha) et calcaire blanc turc (Limra) en dimensions sur mesure.</t>
  </si>
  <si>
    <t xml:space="preserve">Buyers from Saudi Arabia - Global Stone Buyer Center (Riyadh Stone or similar beige limestone, facades)</t>
  </si>
  <si>
    <t xml:space="preserve">Riyadh Stone or a similar beige limestone for facades</t>
  </si>
  <si>
    <t xml:space="preserve">45,000 m²</t>
  </si>
  <si>
    <t xml:space="preserve">60x30 cm, thickness to be confirmed</t>
  </si>
  <si>
    <t xml:space="preserve">Saudi Arabia</t>
  </si>
  <si>
    <t xml:space="preserve">April 2026</t>
  </si>
  <si>
    <t xml:space="preserve">Calcaire beige en 60x30, mais volume énorme (45 000 m²), destination Arabie saoudite et préférence déclarée pour des fournisseurs saoudiens.</t>
  </si>
  <si>
    <t xml:space="preserve">Riyadh Limestone Tile from Saudi Arabia</t>
  </si>
  <si>
    <t xml:space="preserve">Beige Riyadh limestone, bush-hammered</t>
  </si>
  <si>
    <t xml:space="preserve">2,700 m²</t>
  </si>
  <si>
    <t xml:space="preserve">30x60x3 cm, bush-hammered</t>
  </si>
  <si>
    <t xml:space="preserve">about 112 days ago (relative to the index snapshot)</t>
  </si>
  <si>
    <t xml:space="preserve">Le format 30x60 correspond, mais il s'agit de pierre saoudienne de 3 cm bouchardée, avec destination probablement au Moyen-Orient.</t>
  </si>
  <si>
    <t xml:space="preserve">Global Stone Buyer Center - page 3 (RFQ for beige-cream flamed limestone cladding and paving)</t>
  </si>
  <si>
    <t xml:space="preserve">Beige-cream limestone, flamed finish, for cladding and paving (technical data sheets requested)</t>
  </si>
  <si>
    <t xml:space="preserve">20 mm; slabs about 140-180 x 250-300 cm; flamed</t>
  </si>
  <si>
    <t xml:space="preserve">Egypt (per a search summary, unconfirmed)</t>
  </si>
  <si>
    <t xml:space="preserve">Aug 25, 2026</t>
  </si>
  <si>
    <t xml:space="preserve">La couleur beige-crème et les 20 mm correspondent, mais la demande porte sur de grandes tranches flammées et des fiches techniques pour un projet. Destination incertaine (Égypte selon un résumé).</t>
  </si>
  <si>
    <t xml:space="preserve">Sunny Menia Marble - Beige Marble</t>
  </si>
  <si>
    <t xml:space="preserve">Sunny Menia (Minya stone), acid-washed / honed</t>
  </si>
  <si>
    <t xml:space="preserve">300x300x18 mm, acid-washed / honed</t>
  </si>
  <si>
    <t xml:space="preserve">Shenzhen, China</t>
  </si>
  <si>
    <t xml:space="preserve">Famille Sunny Menia (Minya), proche de MINYALA seulement si l'origine Minya est confirmée, mais destination Chine (Shenzhen) et format 30x30x1,8 : sans intérêt pour un stock en France.</t>
  </si>
  <si>
    <t xml:space="preserve">• « Vérifiée ? = Oui » : la demande a été retrouvée sur la page publique de la plateforme le 12/10/2026.</t>
  </si>
  <si>
    <t xml:space="preserve">• StoneContact bloque les accès automatisés : ses demandes viennent de résultats de recherche et n'ont pas pu être revérifiées. Ouvrez-les une fois connecté ; beaucoup sont anciennes ou sans date.</t>
  </si>
  <si>
    <t xml:space="preserve">• Les coordonnées des acheteurs sont réservées aux membres connectés ou payants. Aucun nom ni contact d'acheteur n'est enregistré ici.</t>
  </si>
  <si>
    <t xml:space="preserve">• Liens Alibaba : ils peuvent dépendre de la session ; si un lien ne s'ouvre pas, cherchez le titre dans la liste des RFQ Alibaba.</t>
  </si>
  <si>
    <t xml:space="preserve">• Avant de répondre : lire l'onglet Règles et la section sécurité de rfq-kit.md (jamais de frais à payer, marchandise remise après paiement reçu).</t>
  </si>
  <si>
    <t xml:space="preserve">Groupe</t>
  </si>
  <si>
    <t xml:space="preserve">Membres (source, date)</t>
  </si>
  <si>
    <t xml:space="preserve">Demande admin le</t>
  </si>
  <si>
    <t xml:space="preserve">Réponse</t>
  </si>
  <si>
    <t xml:space="preserve">Publié le</t>
  </si>
  <si>
    <t xml:space="preserve">VendezVosMateriaux.fr - Vente de matériaux et outils de chantier</t>
  </si>
  <si>
    <t xml:space="preserve">Groupe public matériaux (pros et particuliers)</t>
  </si>
  <si>
    <t xml:space="preserve">46,5 K (vu le 12/10/2026)</t>
  </si>
  <si>
    <t xml:space="preserve">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</si>
  <si>
    <t xml:space="preserve">Capture du 12/10</t>
  </si>
  <si>
    <t xml:space="preserve">12/10/2026</t>
  </si>
  <si>
    <t xml:space="preserve">En attente</t>
  </si>
  <si>
    <t xml:space="preserve">LES PRO DU BÂTIMENT</t>
  </si>
  <si>
    <t xml:space="preserve">Groupe pro</t>
  </si>
  <si>
    <t xml:space="preserve">Non relevé</t>
  </si>
  <si>
    <t xml:space="preserve">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</si>
  <si>
    <t xml:space="preserve">avant le 12/10/2026</t>
  </si>
  <si>
    <t xml:space="preserve">Tu sais que tu viens de Rouen quand…</t>
  </si>
  <si>
    <t xml:space="preserve">Rouen (76)</t>
  </si>
  <si>
    <t xml:space="preserve">Communauté de ville</t>
  </si>
  <si>
    <t xml:space="preserve">45 000+ (Tendance Ouest, 2018) ; ~48 000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</si>
  <si>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</si>
  <si>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</si>
  <si>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</si>
  <si>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</si>
  <si>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</si>
  <si>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</si>
  <si>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</si>
  <si>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</si>
  <si>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</si>
  <si>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</si>
  <si>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</si>
  <si>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</si>
  <si>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</si>
  <si>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</si>
  <si>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 ; article de 2016 indisponible)</t>
  </si>
  <si>
    <t xml:space="preserve">Rejoindre avec la Page, lire le règlement, écrire à l'admin avant de publier une seule annonce. (Lien relevé dans un article ici.fr de 2016 aujourd'hui indisponible ; source jointe : article ici.fr de 2019 sur le même réseau.)</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</si>
  <si>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</si>
  <si>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</si>
  <si>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</si>
  <si>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</si>
  <si>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</si>
  <si>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</si>
  <si>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</si>
  <si>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</si>
  <si>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</si>
  <si>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 (Lien relevé dans un article ici.fr de 2016 aujourd'hui indisponible ; source jointe : article ici.fr de 2019 sur le même réseau.)</t>
  </si>
  <si>
    <t xml:space="preserve">Tu sais que tu viens de… Fécamp</t>
  </si>
  <si>
    <t xml:space="preserve">Fécamp (76)</t>
  </si>
  <si>
    <t xml:space="preserve">Résidences secondaires du littoral. Rejoindre avec la Page, lire le règlement, écrire à l'admin avant de publier une seule annonce. (Lien relevé dans un article ici.fr de 2016 aujourd'hui indisponible ; source jointe : article ici.fr de 2019 sur le même réseau.)</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</si>
  <si>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</si>
  <si>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</si>
  <si>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</si>
  <si>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</si>
  <si>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</si>
  <si>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</si>
  <si>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</si>
  <si>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</si>
  <si>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</si>
  <si>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</si>
  <si>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</si>
  <si>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</si>
  <si>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 (Lien relevé dans un article ici.fr de 2016 aujourd'hui indisponible ; source jointe : article ici.fr de 2019 sur le même réseau.)</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</si>
  <si>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</si>
  <si>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</si>
  <si>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</si>
  <si>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</si>
  <si>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</si>
  <si>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</si>
  <si>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</si>
  <si>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</si>
  <si>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</si>
  <si>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</si>
  <si>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</si>
  <si>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~5 400, privé (2023)</t>
  </si>
  <si>
    <t xml:space="preserve">Groupe privé (~5 400, 2023). Vérifier qu'il est réservé aux pros avant d'y publier le prix pro. Se présenter comme fournisseur ;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</si>
  <si>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</si>
  <si>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</si>
  <si>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</si>
  <si>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</si>
  <si>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</si>
  <si>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</si>
  <si>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</si>
  <si>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</si>
  <si>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</si>
  <si>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</si>
  <si>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</si>
  <si>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</si>
  <si>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</si>
  <si>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</si>
  <si>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</si>
  <si>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</si>
  <si>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</si>
  <si>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</si>
  <si>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</si>
  <si>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</si>
  <si>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</si>
  <si>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</si>
  <si>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</si>
  <si>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</si>
  <si>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</si>
  <si>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</si>
  <si>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</si>
  <si>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</si>
  <si>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</si>
  <si>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</si>
  <si>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</si>
  <si>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</si>
  <si>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Repérer les futurs appels d'offres de dallage. Ne proposer MINYALA pour l'espace public qu'avec des essais (glissance, gel, flexion) adaptés à un calcaire de 2 cm.</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</si>
  <si>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</si>
  <si>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</si>
  <si>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</si>
  <si>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</si>
  <si>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</si>
  <si>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</si>
  <si>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</si>
  <si>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</si>
  <si>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</si>
  <si>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</si>
  <si>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</si>
  <si>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</si>
  <si>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</si>
  <si>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</si>
  <si>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</si>
  <si>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</si>
  <si>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</si>
  <si>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</si>
  <si>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</si>
  <si>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</si>
  <si>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</si>
  <si>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</si>
  <si>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</si>
  <si>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</si>
  <si>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</si>
  <si>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</si>
  <si>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</si>
  <si>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Destockplus (déstockage B2B France)</t>
  </si>
  <si>
    <t xml:space="preserve">Pros qui achètent des lots</t>
  </si>
  <si>
    <t xml:space="preserve">France — annonce gratuite (publiée sous 72 h)</t>
  </si>
  <si>
    <t xml:space="preserve">Publier le lot MINYALA (500–2 000 m², prix pro 22,50 € HT/m² soit 27 € TTC — saisir 22,50 dans le champ prix HT —, dès 25 m², Gennevilliers et Vernon). Concurrent affiché à 27 €/m² avec 160 m² minimum : vérifier s'il s'agit de HT ou de TTC.</t>
  </si>
  <si>
    <t xml:space="preserve">StoneAdd (demandes d'acheteurs pierre)</t>
  </si>
  <si>
    <t xml:space="preserve">Importateurs, grossistes, poseurs</t>
  </si>
  <si>
    <t xml:space="preserve">International — 27 000+ demandes publiques</t>
  </si>
  <si>
    <t xml:space="preserve">Inscription gratuite, coordonnées des acheteurs réservées au Premium. Meilleures demandes trouvées ici (Autriche, Belgique, France) : voir onglet Demandes RFQ.</t>
  </si>
  <si>
    <t xml:space="preserve">Acheteurs de pierre du monde entier</t>
  </si>
  <si>
    <t xml:space="preserve">International</t>
  </si>
  <si>
    <t xml:space="preserve">Créer le compte gratuit et publier la fiche MINYALA (textes dans rfq-kit.md). Ne payer Diamond (≈ 2 000 $/an, non confirmé) qu'après un mois de mesure.</t>
  </si>
  <si>
    <t xml:space="preserve">Europages</t>
  </si>
  <si>
    <t xml:space="preserve">Acheteurs professionnels européens</t>
  </si>
  <si>
    <t xml:space="preserve">Europe — page entreprise</t>
  </si>
  <si>
    <t xml:space="preserve">Créer la page entreprise gratuite ; tester le « Request Hub » fournisseur (essai gratuit annoncé).</t>
  </si>
  <si>
    <t xml:space="preserve">Importateurs (souvent par conteneur)</t>
  </si>
  <si>
    <t xml:space="preserve">International — abonnement dès 75 $/mois</t>
  </si>
  <si>
    <t xml:space="preserve">Seulement si StoneAdd et StoneContact ne suffisent pas : plusieurs demandes européennes de calcaire / marbre crème.</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</si>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</sst>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0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stoneadd.com/Buy-Sunny-Marble-PMR2026051904.htm" TargetMode="External"/><Relationship Id="rId2" Type="http://schemas.openxmlformats.org/officeDocument/2006/relationships/hyperlink" Target="https://www.stoneadd.com/Ataija-Creme-Limestone-Inquiry-PMR2026081701.htm" TargetMode="External"/><Relationship Id="rId3" Type="http://schemas.openxmlformats.org/officeDocument/2006/relationships/hyperlink" Target="https://sourcing.alibaba.com/rfq_detail.htm?p=ID1GWxBTMS7v07rK-wOngWs9TE1kAhYg0bqpm4UmA9J6s1_qYPv2acIKUsbMY9mNZ8L&amp;language=de_DE" TargetMode="External"/><Relationship Id="rId4" Type="http://schemas.openxmlformats.org/officeDocument/2006/relationships/hyperlink" Target="https://www.stonecontact.com/products-12697/beaumaniere-limestone-slabs-tiles-france-beige-limestone" TargetMode="External"/><Relationship Id="rId5" Type="http://schemas.openxmlformats.org/officeDocument/2006/relationships/hyperlink" Target="https://www.stonecontact.com/products-300185/sinai-pearl-grey-limestone-slabs-tiles" TargetMode="External"/><Relationship Id="rId6" Type="http://schemas.openxmlformats.org/officeDocument/2006/relationships/hyperlink" Target="https://www.stoneadd.com/Marble-Slabs-Inquiry-PMR2026071504.htm" TargetMode="External"/><Relationship Id="rId7" Type="http://schemas.openxmlformats.org/officeDocument/2006/relationships/hyperlink" Target="https://www.go4worldbusiness.com/buylead/view/1310070/wanted-:-marble.html" TargetMode="External"/><Relationship Id="rId8" Type="http://schemas.openxmlformats.org/officeDocument/2006/relationships/hyperlink" Target="https://www.go4worldbusiness.com/buylead/view/1326481/wanted-:-stone-articles-like-marble-granite-limestone.html" TargetMode="External"/><Relationship Id="rId9" Type="http://schemas.openxmlformats.org/officeDocument/2006/relationships/hyperlink" Target="https://www.go4worldbusiness.com/buylead/view/1307345/wanted-:-natural-stones-like-sandstone-limestone.html" TargetMode="External"/><Relationship Id="rId10" Type="http://schemas.openxmlformats.org/officeDocument/2006/relationships/hyperlink" Target="https://www.stoneadd.com/Buy-Crema-Marfil-tiles-305x305x1cm-Standard-Range-PMR2026041803.htm" TargetMode="External"/><Relationship Id="rId11" Type="http://schemas.openxmlformats.org/officeDocument/2006/relationships/hyperlink" Target="https://www.stoneadd.com/Buy-Moscato-Beige-Marble-PMR2026091204.htm" TargetMode="External"/><Relationship Id="rId12" Type="http://schemas.openxmlformats.org/officeDocument/2006/relationships/hyperlink" Target="https://www.stoneadd.com/Buy-THALA-BEIGE-Marbles-PMR2026082903.htm" TargetMode="External"/><Relationship Id="rId13" Type="http://schemas.openxmlformats.org/officeDocument/2006/relationships/hyperlink" Target="https://www.stoneadd.com/Buy-Sinai-Pearl-Limestone-Stairs-and-Steps-PMR2026090902.htm" TargetMode="External"/><Relationship Id="rId14" Type="http://schemas.openxmlformats.org/officeDocument/2006/relationships/hyperlink" Target="https://www.stoneadd.com/Buy-Turkey-Ivory-Travertine-Slab-PMR2026060501.htm" TargetMode="External"/><Relationship Id="rId15" Type="http://schemas.openxmlformats.org/officeDocument/2006/relationships/hyperlink" Target="https://www.stoneadd.com/Beige-Travertine-KARAMAN-Inquiry-PMR2026032702.htm" TargetMode="External"/><Relationship Id="rId16" Type="http://schemas.openxmlformats.org/officeDocument/2006/relationships/hyperlink" Target="https://www.stonecontact.com/quarries-880/galala-extra-galala-marble-quarry" TargetMode="External"/><Relationship Id="rId17" Type="http://schemas.openxmlformats.org/officeDocument/2006/relationships/hyperlink" Target="https://www.stonecontact.com/products-350300/sinai-pearl-limestone-tiles-slabs" TargetMode="External"/><Relationship Id="rId18" Type="http://schemas.openxmlformats.org/officeDocument/2006/relationships/hyperlink" Target="https://www.stonecontact.com/buyers/from-united-kingdom" TargetMode="External"/><Relationship Id="rId19" Type="http://schemas.openxmlformats.org/officeDocument/2006/relationships/hyperlink" Target="https://www.stonecontact.com/products-451263/westhill-limestone-honed-tiles" TargetMode="External"/><Relationship Id="rId20" Type="http://schemas.openxmlformats.org/officeDocument/2006/relationships/hyperlink" Target="https://www.stonecontact.com/products-68547/beige-limestone-floor-tiles" TargetMode="External"/><Relationship Id="rId21" Type="http://schemas.openxmlformats.org/officeDocument/2006/relationships/hyperlink" Target="https://www.stonecontact.com/products-623866/sunny-menia-marble-slabs" TargetMode="External"/><Relationship Id="rId22" Type="http://schemas.openxmlformats.org/officeDocument/2006/relationships/hyperlink" Target="https://www.stonecontact.com/products-198958/galala-beige" TargetMode="External"/><Relationship Id="rId23" Type="http://schemas.openxmlformats.org/officeDocument/2006/relationships/hyperlink" Target="https://www.stonecontact.com/products-333197/dijon-limestone-honed-finish-floor-tiles" TargetMode="External"/><Relationship Id="rId24" Type="http://schemas.openxmlformats.org/officeDocument/2006/relationships/hyperlink" Target="https://wap.stonecontact.com/buyers" TargetMode="External"/><Relationship Id="rId25" Type="http://schemas.openxmlformats.org/officeDocument/2006/relationships/hyperlink" Target="https://www.stonecontact.com/products-518617/sinai-pearl-limestone-tumbled-limestone-egyptian-limestone-supplier" TargetMode="External"/><Relationship Id="rId26" Type="http://schemas.openxmlformats.org/officeDocument/2006/relationships/hyperlink" Target="https://www.stonecontact.com/sinai-pearl-limestone/s11040" TargetMode="External"/><Relationship Id="rId27" Type="http://schemas.openxmlformats.org/officeDocument/2006/relationships/hyperlink" Target="https://www.stonecontact.com/buyers/from-france" TargetMode="External"/><Relationship Id="rId28" Type="http://schemas.openxmlformats.org/officeDocument/2006/relationships/hyperlink" Target="https://www.stonecontact.com/buyers/from-france" TargetMode="External"/><Relationship Id="rId29" Type="http://schemas.openxmlformats.org/officeDocument/2006/relationships/hyperlink" Target="https://www.stonecontact.com/buyers/from-ireland" TargetMode="External"/><Relationship Id="rId30" Type="http://schemas.openxmlformats.org/officeDocument/2006/relationships/hyperlink" Target="https://www.stoneadd.com/Sunny-Beige-Marble-Tiles-Quotation-PMR2026050607.htm" TargetMode="External"/><Relationship Id="rId31" Type="http://schemas.openxmlformats.org/officeDocument/2006/relationships/hyperlink" Target="https://www.stoneadd.com/Bulk-Inquiry---11000-M2-Beige-Marble-Slabs-60x120cmx2cm-EXW-Factory-PMR2026083105.htm" TargetMode="External"/><Relationship Id="rId32" Type="http://schemas.openxmlformats.org/officeDocument/2006/relationships/hyperlink" Target="https://sourcing.alibaba.com/rfq_detail.htm?p=ID1mx2QEP0mBJKIJ5WuzNS2lhhPeQ2Z7g7oBteXdq0V_zE01e3ObSdI1cHgsADRkl0Z" TargetMode="External"/><Relationship Id="rId33" Type="http://schemas.openxmlformats.org/officeDocument/2006/relationships/hyperlink" Target="https://sourcing.alibaba.com/rfq_detail.htm?p=ID1pJdsiCA2tpueeEgzCFSeUy9Qxd5V4yw0QihC40BD3E3YwY2ZOklTKwOSMLKKJ8w0" TargetMode="External"/><Relationship Id="rId34" Type="http://schemas.openxmlformats.org/officeDocument/2006/relationships/hyperlink" Target="https://sourcing.alibaba.com/rfq_detail.htm?p=ID1adABLvEzsu6o4yd1AV2rLw-7yC-OBCuvjVUvrzKTXMlayqTHDf4MuMD6ULpWMfAM" TargetMode="External"/><Relationship Id="rId35" Type="http://schemas.openxmlformats.org/officeDocument/2006/relationships/hyperlink" Target="https://importer.tradekey.com/buyoffer/DEMANDE-PRIX-3631979.html" TargetMode="External"/><Relationship Id="rId36" Type="http://schemas.openxmlformats.org/officeDocument/2006/relationships/hyperlink" Target="https://importer.tradekey.com/buyoffer/Floor-Tiles-3751287.html" TargetMode="External"/><Relationship Id="rId37" Type="http://schemas.openxmlformats.org/officeDocument/2006/relationships/hyperlink" Target="https://www.go4worldbusiness.com/buylead/view/1312297/wanted-:-natural-stones-like-sawn-and-tumbled-finish.html" TargetMode="External"/><Relationship Id="rId38" Type="http://schemas.openxmlformats.org/officeDocument/2006/relationships/hyperlink" Target="https://www.go4worldbusiness.com/buylead/view/1321371/wanted-:-natural-stone-like-sandstone-limestone-natural-stones.html" TargetMode="External"/><Relationship Id="rId39" Type="http://schemas.openxmlformats.org/officeDocument/2006/relationships/hyperlink" Target="https://www.stoneadd.com/Request-sample-for-Limestone-Beige-Split-Face-PMR2026060805.htm" TargetMode="External"/><Relationship Id="rId40" Type="http://schemas.openxmlformats.org/officeDocument/2006/relationships/hyperlink" Target="https://www.stonecontact.com/buyers/from-france" TargetMode="External"/><Relationship Id="rId41" Type="http://schemas.openxmlformats.org/officeDocument/2006/relationships/hyperlink" Target="https://www.stonecontact.com/buyers/from-germany" TargetMode="External"/><Relationship Id="rId42" Type="http://schemas.openxmlformats.org/officeDocument/2006/relationships/hyperlink" Target="https://www.stonecontact.com/buyers/from-portugal" TargetMode="External"/><Relationship Id="rId43" Type="http://schemas.openxmlformats.org/officeDocument/2006/relationships/hyperlink" Target="https://www.stonecontact.com/buyers/from-italy" TargetMode="External"/><Relationship Id="rId44" Type="http://schemas.openxmlformats.org/officeDocument/2006/relationships/hyperlink" Target="https://www.stonecontact.com/buyers/from-bahrain" TargetMode="External"/><Relationship Id="rId45" Type="http://schemas.openxmlformats.org/officeDocument/2006/relationships/hyperlink" Target="https://www.stonecontact.com/buyers/from-kuwait/3" TargetMode="External"/><Relationship Id="rId46" Type="http://schemas.openxmlformats.org/officeDocument/2006/relationships/hyperlink" Target="https://www.stonecontact.com/buyers/from-kuwait" TargetMode="External"/><Relationship Id="rId47" Type="http://schemas.openxmlformats.org/officeDocument/2006/relationships/hyperlink" Target="https://www.stonecontact.com/buyers/from-united-states" TargetMode="External"/><Relationship Id="rId48" Type="http://schemas.openxmlformats.org/officeDocument/2006/relationships/hyperlink" Target="https://www.stonecontact.com/buyers/natural-stone-category/from-qatar" TargetMode="External"/><Relationship Id="rId49" Type="http://schemas.openxmlformats.org/officeDocument/2006/relationships/hyperlink" Target="https://wap.stonecontact.com/buyers/from-saudi-arabia" TargetMode="External"/><Relationship Id="rId50" Type="http://schemas.openxmlformats.org/officeDocument/2006/relationships/hyperlink" Target="https://www.stonecontact.com/products-37090/riyadh-limestone-tile" TargetMode="External"/><Relationship Id="rId51" Type="http://schemas.openxmlformats.org/officeDocument/2006/relationships/hyperlink" Target="https://wap.stonecontact.com/buyers/3" TargetMode="External"/><Relationship Id="rId52" Type="http://schemas.openxmlformats.org/officeDocument/2006/relationships/hyperlink" Target="https://www.stonecontact.com/sunny-menia-marble/s16102" TargetMode="External"/><Relationship Id="rId53"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infos/insolite/facebook-avec-500-000-abonnes-fabien-tassel-connecte-les-normands-1565552960"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infos/insolite/facebook-avec-500-000-abonnes-fabien-tassel-connecte-les-normands-1565552960"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infos/insolite/facebook-avec-500-000-abonnes-fabien-tassel-connecte-les-normands-1565552960"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infos/insolite/facebook-avec-500-000-abonnes-fabien-tassel-connecte-les-normands-1565552960"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infos/insolite/facebook-avec-500-000-abonnes-fabien-tassel-connecte-les-normands-1565552960"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infos/insolite/facebook-avec-500-000-abonnes-fabien-tassel-connecte-les-normands-1565552960"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infos/insolite/facebook-avec-500-000-abonnes-fabien-tassel-connecte-les-normands-1565552960"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infos/insolite/facebook-avec-500-000-abonnes-fabien-tassel-connecte-les-normands-1565552960"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infos/insolite/facebook-avec-500-000-abonnes-fabien-tassel-connecte-les-normands-1565552960"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infos/insolite/facebook-avec-500-000-abonnes-fabien-tassel-connecte-les-normands-1565552960"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www.destockplus.com/nos-services.html" TargetMode="External"/><Relationship Id="rId16" Type="http://schemas.openxmlformats.org/officeDocument/2006/relationships/hyperlink" Target="https://www.stoneadd.com/requests.asp" TargetMode="External"/><Relationship Id="rId17" Type="http://schemas.openxmlformats.org/officeDocument/2006/relationships/hyperlink" Target="https://www.stonecontact.com/" TargetMode="External"/><Relationship Id="rId18" Type="http://schemas.openxmlformats.org/officeDocument/2006/relationships/hyperlink" Target="https://www.europages.fr/" TargetMode="External"/><Relationship Id="rId19" Type="http://schemas.openxmlformats.org/officeDocument/2006/relationships/hyperlink" Target="https://www.go4worldbusiness.com/pricing" TargetMode="External"/><Relationship Id="rId20" Type="http://schemas.openxmlformats.org/officeDocument/2006/relationships/hyperlink" Target="https://shopify.dev/changelog/a-new-home-for-agentic-storefronts-in-your-admin" TargetMode="External"/>
</Relationships>
</file>

<file path=xl/worksheets/_rels/sheet7.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9" t="n">
        <v>27</v>
      </c>
      <c r="C29" s="10" t="s">
        <v>30</v>
      </c>
    </row>
    <row r="30" customFormat="false" ht="15" hidden="false" customHeight="false" outlineLevel="0" collapsed="false">
      <c r="A30" s="4" t="s">
        <v>31</v>
      </c>
      <c r="B30" s="11" t="n">
        <f aca="false">B29/1.2</f>
        <v>22.5</v>
      </c>
    </row>
    <row r="31" customFormat="false" ht="15" hidden="false" customHeight="false" outlineLevel="0" collapsed="false">
      <c r="A31" s="4" t="s">
        <v>32</v>
      </c>
      <c r="B31" s="12" t="n">
        <f aca="false">SUM(Prospects!$P$2:$P$400)</f>
        <v>0</v>
      </c>
    </row>
    <row r="32" customFormat="false" ht="15" hidden="false" customHeight="false" outlineLevel="0" collapsed="false">
      <c r="A32" s="3" t="s">
        <v>33</v>
      </c>
      <c r="B32" s="13" t="n">
        <f aca="false">SUMPRODUCT(Prospects!$P$2:$P$400,Prospects!$Q$2:$Q$400)</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 collapsed="false" customWidth="true" hidden="false" outlineLevel="0" max="17" min="17" style="0" width="11"/>
  </cols>
  <sheetData>
    <row r="1" customFormat="false" ht="30" hidden="false" customHeight="true" outlineLevel="0" collapsed="false">
      <c r="A1" s="14" t="s">
        <v>34</v>
      </c>
      <c r="B1" s="14" t="s">
        <v>35</v>
      </c>
      <c r="C1" s="14" t="s">
        <v>36</v>
      </c>
      <c r="D1" s="14" t="s">
        <v>37</v>
      </c>
      <c r="E1" s="14" t="s">
        <v>38</v>
      </c>
      <c r="F1" s="14" t="s">
        <v>39</v>
      </c>
      <c r="G1" s="14" t="s">
        <v>40</v>
      </c>
      <c r="H1" s="14" t="s">
        <v>41</v>
      </c>
      <c r="I1" s="14" t="s">
        <v>42</v>
      </c>
      <c r="J1" s="14" t="s">
        <v>43</v>
      </c>
      <c r="K1" s="14" t="s">
        <v>44</v>
      </c>
      <c r="L1" s="14" t="s">
        <v>8</v>
      </c>
      <c r="M1" s="14" t="s">
        <v>10</v>
      </c>
      <c r="N1" s="14" t="s">
        <v>12</v>
      </c>
      <c r="O1" s="14" t="s">
        <v>14</v>
      </c>
      <c r="P1" s="14" t="s">
        <v>16</v>
      </c>
      <c r="Q1" s="14" t="s">
        <v>45</v>
      </c>
    </row>
    <row r="2" customFormat="false" ht="23.85" hidden="false" customHeight="false" outlineLevel="0" collapsed="false">
      <c r="A2" s="15" t="n">
        <v>1</v>
      </c>
      <c r="B2" s="15" t="s">
        <v>46</v>
      </c>
      <c r="C2" s="15" t="n">
        <v>1</v>
      </c>
      <c r="D2" s="15" t="s">
        <v>47</v>
      </c>
      <c r="E2" s="16" t="s">
        <v>48</v>
      </c>
      <c r="F2" s="15" t="s">
        <v>49</v>
      </c>
      <c r="G2" s="15" t="s">
        <v>50</v>
      </c>
      <c r="H2" s="15" t="s">
        <v>51</v>
      </c>
      <c r="I2" s="17"/>
      <c r="J2" s="17"/>
      <c r="K2" s="18" t="s">
        <v>52</v>
      </c>
      <c r="L2" s="19" t="s">
        <v>20</v>
      </c>
      <c r="M2" s="20"/>
      <c r="N2" s="19"/>
      <c r="O2" s="19"/>
      <c r="P2" s="21"/>
      <c r="Q2" s="22" t="n">
        <f aca="false">'Mode d''emploi'!$B$29</f>
        <v>27</v>
      </c>
    </row>
    <row r="3" customFormat="false" ht="15" hidden="false" customHeight="false" outlineLevel="0" collapsed="false">
      <c r="A3" s="15" t="n">
        <v>2</v>
      </c>
      <c r="B3" s="15" t="s">
        <v>46</v>
      </c>
      <c r="C3" s="15" t="n">
        <v>1</v>
      </c>
      <c r="D3" s="15" t="s">
        <v>47</v>
      </c>
      <c r="E3" s="16" t="s">
        <v>53</v>
      </c>
      <c r="F3" s="15" t="s">
        <v>54</v>
      </c>
      <c r="G3" s="15" t="s">
        <v>50</v>
      </c>
      <c r="H3" s="15" t="s">
        <v>55</v>
      </c>
      <c r="I3" s="17"/>
      <c r="J3" s="17"/>
      <c r="K3" s="18" t="s">
        <v>52</v>
      </c>
      <c r="L3" s="19" t="s">
        <v>20</v>
      </c>
      <c r="M3" s="20"/>
      <c r="N3" s="19"/>
      <c r="O3" s="19"/>
      <c r="P3" s="21"/>
      <c r="Q3" s="22" t="n">
        <f aca="false">'Mode d''emploi'!$B$29</f>
        <v>27</v>
      </c>
    </row>
    <row r="4" customFormat="false" ht="15" hidden="false" customHeight="false" outlineLevel="0" collapsed="false">
      <c r="A4" s="15" t="n">
        <v>3</v>
      </c>
      <c r="B4" s="15" t="s">
        <v>46</v>
      </c>
      <c r="C4" s="15" t="n">
        <v>1</v>
      </c>
      <c r="D4" s="15" t="s">
        <v>47</v>
      </c>
      <c r="E4" s="16" t="s">
        <v>56</v>
      </c>
      <c r="F4" s="15" t="s">
        <v>57</v>
      </c>
      <c r="G4" s="15" t="s">
        <v>50</v>
      </c>
      <c r="H4" s="15" t="s">
        <v>58</v>
      </c>
      <c r="I4" s="17"/>
      <c r="J4" s="17"/>
      <c r="K4" s="18" t="s">
        <v>52</v>
      </c>
      <c r="L4" s="19" t="s">
        <v>20</v>
      </c>
      <c r="M4" s="20"/>
      <c r="N4" s="19"/>
      <c r="O4" s="19"/>
      <c r="P4" s="21"/>
      <c r="Q4" s="22" t="n">
        <f aca="false">'Mode d''emploi'!$B$29</f>
        <v>27</v>
      </c>
    </row>
    <row r="5" customFormat="false" ht="15" hidden="false" customHeight="false" outlineLevel="0" collapsed="false">
      <c r="A5" s="15" t="n">
        <v>4</v>
      </c>
      <c r="B5" s="15" t="s">
        <v>46</v>
      </c>
      <c r="C5" s="15" t="n">
        <v>1</v>
      </c>
      <c r="D5" s="15" t="s">
        <v>47</v>
      </c>
      <c r="E5" s="16" t="s">
        <v>59</v>
      </c>
      <c r="F5" s="15" t="s">
        <v>60</v>
      </c>
      <c r="G5" s="15" t="s">
        <v>50</v>
      </c>
      <c r="H5" s="15" t="s">
        <v>61</v>
      </c>
      <c r="I5" s="17"/>
      <c r="J5" s="17"/>
      <c r="K5" s="18" t="s">
        <v>52</v>
      </c>
      <c r="L5" s="19" t="s">
        <v>20</v>
      </c>
      <c r="M5" s="20"/>
      <c r="N5" s="19"/>
      <c r="O5" s="19"/>
      <c r="P5" s="21"/>
      <c r="Q5" s="22" t="n">
        <f aca="false">'Mode d''emploi'!$B$29</f>
        <v>27</v>
      </c>
    </row>
    <row r="6" customFormat="false" ht="23.85" hidden="false" customHeight="false" outlineLevel="0" collapsed="false">
      <c r="A6" s="15" t="n">
        <v>5</v>
      </c>
      <c r="B6" s="15" t="s">
        <v>46</v>
      </c>
      <c r="C6" s="15" t="n">
        <v>1</v>
      </c>
      <c r="D6" s="15" t="s">
        <v>47</v>
      </c>
      <c r="E6" s="16" t="s">
        <v>62</v>
      </c>
      <c r="F6" s="15" t="s">
        <v>63</v>
      </c>
      <c r="G6" s="15" t="s">
        <v>64</v>
      </c>
      <c r="H6" s="15" t="s">
        <v>65</v>
      </c>
      <c r="I6" s="17"/>
      <c r="J6" s="17" t="s">
        <v>66</v>
      </c>
      <c r="K6" s="18" t="s">
        <v>52</v>
      </c>
      <c r="L6" s="19" t="s">
        <v>20</v>
      </c>
      <c r="M6" s="20"/>
      <c r="N6" s="19"/>
      <c r="O6" s="19"/>
      <c r="P6" s="21"/>
      <c r="Q6" s="22" t="n">
        <f aca="false">'Mode d''emploi'!$B$29</f>
        <v>27</v>
      </c>
    </row>
    <row r="7" customFormat="false" ht="23.85" hidden="false" customHeight="false" outlineLevel="0" collapsed="false">
      <c r="A7" s="23" t="n">
        <v>6</v>
      </c>
      <c r="B7" s="23" t="s">
        <v>46</v>
      </c>
      <c r="C7" s="23" t="n">
        <v>2</v>
      </c>
      <c r="D7" s="23" t="s">
        <v>67</v>
      </c>
      <c r="E7" s="24" t="s">
        <v>68</v>
      </c>
      <c r="F7" s="23" t="s">
        <v>69</v>
      </c>
      <c r="G7" s="23" t="s">
        <v>50</v>
      </c>
      <c r="H7" s="23" t="s">
        <v>70</v>
      </c>
      <c r="I7" s="17"/>
      <c r="J7" s="17"/>
      <c r="K7" s="18" t="s">
        <v>52</v>
      </c>
      <c r="L7" s="19" t="s">
        <v>20</v>
      </c>
      <c r="M7" s="20"/>
      <c r="N7" s="19"/>
      <c r="O7" s="19"/>
      <c r="P7" s="21"/>
      <c r="Q7" s="22" t="n">
        <f aca="false">'Mode d''emploi'!$B$29</f>
        <v>27</v>
      </c>
    </row>
    <row r="8" customFormat="false" ht="23.85" hidden="false" customHeight="false" outlineLevel="0" collapsed="false">
      <c r="A8" s="23" t="n">
        <v>7</v>
      </c>
      <c r="B8" s="23" t="s">
        <v>46</v>
      </c>
      <c r="C8" s="23" t="n">
        <v>2</v>
      </c>
      <c r="D8" s="23" t="s">
        <v>71</v>
      </c>
      <c r="E8" s="24" t="s">
        <v>72</v>
      </c>
      <c r="F8" s="23" t="s">
        <v>73</v>
      </c>
      <c r="G8" s="23" t="s">
        <v>50</v>
      </c>
      <c r="H8" s="23" t="s">
        <v>74</v>
      </c>
      <c r="I8" s="17"/>
      <c r="J8" s="17"/>
      <c r="K8" s="18" t="s">
        <v>52</v>
      </c>
      <c r="L8" s="19" t="s">
        <v>20</v>
      </c>
      <c r="M8" s="20"/>
      <c r="N8" s="19"/>
      <c r="O8" s="19"/>
      <c r="P8" s="21"/>
      <c r="Q8" s="22" t="n">
        <f aca="false">'Mode d''emploi'!$B$29</f>
        <v>27</v>
      </c>
    </row>
    <row r="9" customFormat="false" ht="15" hidden="false" customHeight="false" outlineLevel="0" collapsed="false">
      <c r="A9" s="23" t="n">
        <v>8</v>
      </c>
      <c r="B9" s="23" t="s">
        <v>46</v>
      </c>
      <c r="C9" s="23" t="n">
        <v>2</v>
      </c>
      <c r="D9" s="23" t="s">
        <v>75</v>
      </c>
      <c r="E9" s="24" t="s">
        <v>76</v>
      </c>
      <c r="F9" s="23" t="s">
        <v>77</v>
      </c>
      <c r="G9" s="23" t="s">
        <v>50</v>
      </c>
      <c r="H9" s="23" t="s">
        <v>78</v>
      </c>
      <c r="I9" s="17"/>
      <c r="J9" s="17"/>
      <c r="K9" s="18" t="s">
        <v>52</v>
      </c>
      <c r="L9" s="19" t="s">
        <v>20</v>
      </c>
      <c r="M9" s="20"/>
      <c r="N9" s="19"/>
      <c r="O9" s="19"/>
      <c r="P9" s="21"/>
      <c r="Q9" s="22" t="n">
        <f aca="false">'Mode d''emploi'!$B$29</f>
        <v>27</v>
      </c>
    </row>
    <row r="10" customFormat="false" ht="23.85" hidden="false" customHeight="false" outlineLevel="0" collapsed="false">
      <c r="A10" s="23" t="n">
        <v>9</v>
      </c>
      <c r="B10" s="23" t="s">
        <v>46</v>
      </c>
      <c r="C10" s="23" t="n">
        <v>2</v>
      </c>
      <c r="D10" s="23" t="s">
        <v>75</v>
      </c>
      <c r="E10" s="24" t="s">
        <v>79</v>
      </c>
      <c r="F10" s="23" t="s">
        <v>80</v>
      </c>
      <c r="G10" s="23" t="s">
        <v>50</v>
      </c>
      <c r="H10" s="23" t="s">
        <v>81</v>
      </c>
      <c r="I10" s="17"/>
      <c r="J10" s="17"/>
      <c r="K10" s="18" t="s">
        <v>52</v>
      </c>
      <c r="L10" s="19" t="s">
        <v>20</v>
      </c>
      <c r="M10" s="20"/>
      <c r="N10" s="19"/>
      <c r="O10" s="19"/>
      <c r="P10" s="21"/>
      <c r="Q10" s="22" t="n">
        <f aca="false">'Mode d''emploi'!$B$29</f>
        <v>27</v>
      </c>
    </row>
    <row r="11" customFormat="false" ht="15" hidden="false" customHeight="false" outlineLevel="0" collapsed="false">
      <c r="A11" s="23" t="n">
        <v>10</v>
      </c>
      <c r="B11" s="23" t="s">
        <v>46</v>
      </c>
      <c r="C11" s="23" t="n">
        <v>2</v>
      </c>
      <c r="D11" s="23" t="s">
        <v>75</v>
      </c>
      <c r="E11" s="24" t="s">
        <v>82</v>
      </c>
      <c r="F11" s="23" t="s">
        <v>83</v>
      </c>
      <c r="G11" s="23" t="s">
        <v>50</v>
      </c>
      <c r="H11" s="23" t="s">
        <v>84</v>
      </c>
      <c r="I11" s="17"/>
      <c r="J11" s="17"/>
      <c r="K11" s="18" t="s">
        <v>52</v>
      </c>
      <c r="L11" s="19" t="s">
        <v>20</v>
      </c>
      <c r="M11" s="20"/>
      <c r="N11" s="19"/>
      <c r="O11" s="19"/>
      <c r="P11" s="21"/>
      <c r="Q11" s="22" t="n">
        <f aca="false">'Mode d''emploi'!$B$29</f>
        <v>27</v>
      </c>
    </row>
    <row r="12" customFormat="false" ht="23.85" hidden="false" customHeight="false" outlineLevel="0" collapsed="false">
      <c r="A12" s="23" t="n">
        <v>11</v>
      </c>
      <c r="B12" s="23" t="s">
        <v>46</v>
      </c>
      <c r="C12" s="23" t="n">
        <v>2</v>
      </c>
      <c r="D12" s="23" t="s">
        <v>75</v>
      </c>
      <c r="E12" s="24" t="s">
        <v>85</v>
      </c>
      <c r="F12" s="23" t="s">
        <v>86</v>
      </c>
      <c r="G12" s="23" t="s">
        <v>50</v>
      </c>
      <c r="H12" s="23" t="s">
        <v>87</v>
      </c>
      <c r="I12" s="17"/>
      <c r="J12" s="17"/>
      <c r="K12" s="18" t="s">
        <v>52</v>
      </c>
      <c r="L12" s="19" t="s">
        <v>20</v>
      </c>
      <c r="M12" s="20"/>
      <c r="N12" s="19"/>
      <c r="O12" s="19"/>
      <c r="P12" s="21"/>
      <c r="Q12" s="22" t="n">
        <f aca="false">'Mode d''emploi'!$B$29</f>
        <v>27</v>
      </c>
    </row>
    <row r="13" customFormat="false" ht="23.85" hidden="false" customHeight="false" outlineLevel="0" collapsed="false">
      <c r="A13" s="23" t="n">
        <v>12</v>
      </c>
      <c r="B13" s="23" t="s">
        <v>46</v>
      </c>
      <c r="C13" s="23" t="n">
        <v>2</v>
      </c>
      <c r="D13" s="23" t="s">
        <v>75</v>
      </c>
      <c r="E13" s="24" t="s">
        <v>88</v>
      </c>
      <c r="F13" s="23" t="s">
        <v>89</v>
      </c>
      <c r="G13" s="23" t="s">
        <v>50</v>
      </c>
      <c r="H13" s="23" t="s">
        <v>90</v>
      </c>
      <c r="I13" s="17"/>
      <c r="J13" s="17"/>
      <c r="K13" s="18" t="s">
        <v>52</v>
      </c>
      <c r="L13" s="19" t="s">
        <v>20</v>
      </c>
      <c r="M13" s="20"/>
      <c r="N13" s="19"/>
      <c r="O13" s="19"/>
      <c r="P13" s="21"/>
      <c r="Q13" s="22" t="n">
        <f aca="false">'Mode d''emploi'!$B$29</f>
        <v>27</v>
      </c>
    </row>
    <row r="14" customFormat="false" ht="15" hidden="false" customHeight="false" outlineLevel="0" collapsed="false">
      <c r="A14" s="23" t="n">
        <v>13</v>
      </c>
      <c r="B14" s="23" t="s">
        <v>46</v>
      </c>
      <c r="C14" s="23" t="n">
        <v>2</v>
      </c>
      <c r="D14" s="23" t="s">
        <v>75</v>
      </c>
      <c r="E14" s="24" t="s">
        <v>91</v>
      </c>
      <c r="F14" s="23" t="s">
        <v>92</v>
      </c>
      <c r="G14" s="23" t="s">
        <v>50</v>
      </c>
      <c r="H14" s="23" t="s">
        <v>93</v>
      </c>
      <c r="I14" s="17"/>
      <c r="J14" s="17"/>
      <c r="K14" s="18" t="s">
        <v>52</v>
      </c>
      <c r="L14" s="19" t="s">
        <v>20</v>
      </c>
      <c r="M14" s="20"/>
      <c r="N14" s="19"/>
      <c r="O14" s="19"/>
      <c r="P14" s="21"/>
      <c r="Q14" s="22" t="n">
        <f aca="false">'Mode d''emploi'!$B$29</f>
        <v>27</v>
      </c>
    </row>
    <row r="15" customFormat="false" ht="35.05" hidden="false" customHeight="false" outlineLevel="0" collapsed="false">
      <c r="A15" s="23" t="n">
        <v>14</v>
      </c>
      <c r="B15" s="23" t="s">
        <v>46</v>
      </c>
      <c r="C15" s="23" t="n">
        <v>2</v>
      </c>
      <c r="D15" s="23" t="s">
        <v>94</v>
      </c>
      <c r="E15" s="24" t="s">
        <v>95</v>
      </c>
      <c r="F15" s="23" t="s">
        <v>96</v>
      </c>
      <c r="G15" s="23" t="s">
        <v>50</v>
      </c>
      <c r="H15" s="23" t="s">
        <v>97</v>
      </c>
      <c r="I15" s="17"/>
      <c r="J15" s="17"/>
      <c r="K15" s="18" t="s">
        <v>52</v>
      </c>
      <c r="L15" s="19" t="s">
        <v>20</v>
      </c>
      <c r="M15" s="20"/>
      <c r="N15" s="19"/>
      <c r="O15" s="19"/>
      <c r="P15" s="21"/>
      <c r="Q15" s="22" t="n">
        <f aca="false">'Mode d''emploi'!$B$29</f>
        <v>27</v>
      </c>
    </row>
    <row r="16" customFormat="false" ht="15" hidden="false" customHeight="false" outlineLevel="0" collapsed="false">
      <c r="A16" s="23" t="n">
        <v>15</v>
      </c>
      <c r="B16" s="23" t="s">
        <v>46</v>
      </c>
      <c r="C16" s="23" t="n">
        <v>2</v>
      </c>
      <c r="D16" s="23" t="s">
        <v>75</v>
      </c>
      <c r="E16" s="24" t="s">
        <v>98</v>
      </c>
      <c r="F16" s="23" t="s">
        <v>99</v>
      </c>
      <c r="G16" s="23" t="s">
        <v>64</v>
      </c>
      <c r="H16" s="23" t="s">
        <v>100</v>
      </c>
      <c r="I16" s="17"/>
      <c r="J16" s="17"/>
      <c r="K16" s="18" t="s">
        <v>52</v>
      </c>
      <c r="L16" s="19" t="s">
        <v>20</v>
      </c>
      <c r="M16" s="20"/>
      <c r="N16" s="19"/>
      <c r="O16" s="19"/>
      <c r="P16" s="21"/>
      <c r="Q16" s="22" t="n">
        <f aca="false">'Mode d''emploi'!$B$29</f>
        <v>27</v>
      </c>
    </row>
    <row r="17" customFormat="false" ht="15" hidden="false" customHeight="false" outlineLevel="0" collapsed="false">
      <c r="A17" s="23" t="n">
        <v>16</v>
      </c>
      <c r="B17" s="23" t="s">
        <v>46</v>
      </c>
      <c r="C17" s="23" t="n">
        <v>2</v>
      </c>
      <c r="D17" s="23" t="s">
        <v>75</v>
      </c>
      <c r="E17" s="24" t="s">
        <v>101</v>
      </c>
      <c r="F17" s="23" t="s">
        <v>102</v>
      </c>
      <c r="G17" s="23" t="s">
        <v>64</v>
      </c>
      <c r="H17" s="23" t="s">
        <v>103</v>
      </c>
      <c r="I17" s="17"/>
      <c r="J17" s="17"/>
      <c r="K17" s="18" t="s">
        <v>52</v>
      </c>
      <c r="L17" s="19" t="s">
        <v>20</v>
      </c>
      <c r="M17" s="20"/>
      <c r="N17" s="19"/>
      <c r="O17" s="19"/>
      <c r="P17" s="21"/>
      <c r="Q17" s="22" t="n">
        <f aca="false">'Mode d''emploi'!$B$29</f>
        <v>27</v>
      </c>
    </row>
    <row r="18" customFormat="false" ht="23.85" hidden="false" customHeight="false" outlineLevel="0" collapsed="false">
      <c r="A18" s="23" t="n">
        <v>17</v>
      </c>
      <c r="B18" s="23" t="s">
        <v>46</v>
      </c>
      <c r="C18" s="23" t="n">
        <v>2</v>
      </c>
      <c r="D18" s="23" t="s">
        <v>104</v>
      </c>
      <c r="E18" s="24" t="s">
        <v>105</v>
      </c>
      <c r="F18" s="23" t="s">
        <v>106</v>
      </c>
      <c r="G18" s="23" t="s">
        <v>64</v>
      </c>
      <c r="H18" s="23" t="s">
        <v>107</v>
      </c>
      <c r="I18" s="17"/>
      <c r="J18" s="17"/>
      <c r="K18" s="18" t="s">
        <v>52</v>
      </c>
      <c r="L18" s="19" t="s">
        <v>20</v>
      </c>
      <c r="M18" s="20"/>
      <c r="N18" s="19"/>
      <c r="O18" s="19"/>
      <c r="P18" s="21"/>
      <c r="Q18" s="22" t="n">
        <f aca="false">'Mode d''emploi'!$B$29</f>
        <v>27</v>
      </c>
    </row>
    <row r="19" customFormat="false" ht="15" hidden="false" customHeight="false" outlineLevel="0" collapsed="false">
      <c r="A19" s="23" t="n">
        <v>18</v>
      </c>
      <c r="B19" s="23" t="s">
        <v>46</v>
      </c>
      <c r="C19" s="23" t="n">
        <v>2</v>
      </c>
      <c r="D19" s="23" t="s">
        <v>75</v>
      </c>
      <c r="E19" s="24" t="s">
        <v>108</v>
      </c>
      <c r="F19" s="23" t="s">
        <v>109</v>
      </c>
      <c r="G19" s="23" t="s">
        <v>64</v>
      </c>
      <c r="H19" s="23" t="s">
        <v>110</v>
      </c>
      <c r="I19" s="17"/>
      <c r="J19" s="17"/>
      <c r="K19" s="18" t="s">
        <v>52</v>
      </c>
      <c r="L19" s="19" t="s">
        <v>20</v>
      </c>
      <c r="M19" s="20"/>
      <c r="N19" s="19"/>
      <c r="O19" s="19"/>
      <c r="P19" s="21"/>
      <c r="Q19" s="22" t="n">
        <f aca="false">'Mode d''emploi'!$B$29</f>
        <v>27</v>
      </c>
    </row>
    <row r="20" customFormat="false" ht="23.85" hidden="false" customHeight="false" outlineLevel="0" collapsed="false">
      <c r="A20" s="23" t="n">
        <v>19</v>
      </c>
      <c r="B20" s="23" t="s">
        <v>46</v>
      </c>
      <c r="C20" s="23" t="n">
        <v>2</v>
      </c>
      <c r="D20" s="23" t="s">
        <v>67</v>
      </c>
      <c r="E20" s="24" t="s">
        <v>111</v>
      </c>
      <c r="F20" s="23" t="s">
        <v>112</v>
      </c>
      <c r="G20" s="23" t="s">
        <v>64</v>
      </c>
      <c r="H20" s="23" t="s">
        <v>113</v>
      </c>
      <c r="I20" s="17"/>
      <c r="J20" s="17"/>
      <c r="K20" s="18" t="s">
        <v>52</v>
      </c>
      <c r="L20" s="19" t="s">
        <v>20</v>
      </c>
      <c r="M20" s="20"/>
      <c r="N20" s="19"/>
      <c r="O20" s="19"/>
      <c r="P20" s="21"/>
      <c r="Q20" s="22" t="n">
        <f aca="false">'Mode d''emploi'!$B$29</f>
        <v>27</v>
      </c>
    </row>
    <row r="21" customFormat="false" ht="15" hidden="false" customHeight="false" outlineLevel="0" collapsed="false">
      <c r="A21" s="23" t="n">
        <v>20</v>
      </c>
      <c r="B21" s="23" t="s">
        <v>46</v>
      </c>
      <c r="C21" s="23" t="n">
        <v>2</v>
      </c>
      <c r="D21" s="23" t="s">
        <v>75</v>
      </c>
      <c r="E21" s="24" t="s">
        <v>114</v>
      </c>
      <c r="F21" s="23" t="s">
        <v>115</v>
      </c>
      <c r="G21" s="23" t="s">
        <v>64</v>
      </c>
      <c r="H21" s="23" t="s">
        <v>116</v>
      </c>
      <c r="I21" s="17"/>
      <c r="J21" s="17"/>
      <c r="K21" s="18" t="s">
        <v>52</v>
      </c>
      <c r="L21" s="19" t="s">
        <v>20</v>
      </c>
      <c r="M21" s="20"/>
      <c r="N21" s="19"/>
      <c r="O21" s="19"/>
      <c r="P21" s="21"/>
      <c r="Q21" s="22" t="n">
        <f aca="false">'Mode d''emploi'!$B$29</f>
        <v>27</v>
      </c>
    </row>
    <row r="22" customFormat="false" ht="23.85" hidden="false" customHeight="false" outlineLevel="0" collapsed="false">
      <c r="A22" s="17" t="n">
        <v>21</v>
      </c>
      <c r="B22" s="17" t="s">
        <v>46</v>
      </c>
      <c r="C22" s="17" t="n">
        <v>3</v>
      </c>
      <c r="D22" s="17" t="s">
        <v>117</v>
      </c>
      <c r="E22" s="25" t="s">
        <v>118</v>
      </c>
      <c r="F22" s="17" t="s">
        <v>119</v>
      </c>
      <c r="G22" s="17" t="s">
        <v>50</v>
      </c>
      <c r="H22" s="17" t="s">
        <v>120</v>
      </c>
      <c r="I22" s="17"/>
      <c r="J22" s="17"/>
      <c r="K22" s="18" t="s">
        <v>52</v>
      </c>
      <c r="L22" s="19" t="s">
        <v>20</v>
      </c>
      <c r="M22" s="20"/>
      <c r="N22" s="19"/>
      <c r="O22" s="19"/>
      <c r="P22" s="21"/>
      <c r="Q22" s="22" t="n">
        <f aca="false">'Mode d''emploi'!$B$29</f>
        <v>27</v>
      </c>
    </row>
    <row r="23" customFormat="false" ht="15" hidden="false" customHeight="false" outlineLevel="0" collapsed="false">
      <c r="A23" s="17" t="n">
        <v>22</v>
      </c>
      <c r="B23" s="17" t="s">
        <v>46</v>
      </c>
      <c r="C23" s="17" t="n">
        <v>3</v>
      </c>
      <c r="D23" s="17" t="s">
        <v>75</v>
      </c>
      <c r="E23" s="25" t="s">
        <v>121</v>
      </c>
      <c r="F23" s="17" t="s">
        <v>115</v>
      </c>
      <c r="G23" s="17" t="s">
        <v>64</v>
      </c>
      <c r="H23" s="17" t="s">
        <v>122</v>
      </c>
      <c r="I23" s="17"/>
      <c r="J23" s="17"/>
      <c r="K23" s="18" t="s">
        <v>52</v>
      </c>
      <c r="L23" s="19" t="s">
        <v>20</v>
      </c>
      <c r="M23" s="20"/>
      <c r="N23" s="19"/>
      <c r="O23" s="19"/>
      <c r="P23" s="21"/>
      <c r="Q23" s="22" t="n">
        <f aca="false">'Mode d''emploi'!$B$29</f>
        <v>27</v>
      </c>
    </row>
    <row r="24" customFormat="false" ht="35.05" hidden="false" customHeight="false" outlineLevel="0" collapsed="false">
      <c r="A24" s="15" t="n">
        <v>23</v>
      </c>
      <c r="B24" s="15" t="s">
        <v>123</v>
      </c>
      <c r="C24" s="15" t="n">
        <v>1</v>
      </c>
      <c r="D24" s="15" t="s">
        <v>47</v>
      </c>
      <c r="E24" s="16" t="s">
        <v>124</v>
      </c>
      <c r="F24" s="15" t="s">
        <v>125</v>
      </c>
      <c r="G24" s="15" t="s">
        <v>50</v>
      </c>
      <c r="H24" s="15" t="s">
        <v>126</v>
      </c>
      <c r="I24" s="18" t="s">
        <v>127</v>
      </c>
      <c r="J24" s="17" t="s">
        <v>128</v>
      </c>
      <c r="K24" s="18" t="s">
        <v>52</v>
      </c>
      <c r="L24" s="19" t="s">
        <v>20</v>
      </c>
      <c r="M24" s="20"/>
      <c r="N24" s="19"/>
      <c r="O24" s="19"/>
      <c r="P24" s="21"/>
      <c r="Q24" s="22" t="n">
        <f aca="false">'Mode d''emploi'!$B$29</f>
        <v>27</v>
      </c>
    </row>
    <row r="25" customFormat="false" ht="35.05" hidden="false" customHeight="false" outlineLevel="0" collapsed="false">
      <c r="A25" s="15" t="n">
        <v>24</v>
      </c>
      <c r="B25" s="15" t="s">
        <v>123</v>
      </c>
      <c r="C25" s="15" t="n">
        <v>1</v>
      </c>
      <c r="D25" s="15" t="s">
        <v>47</v>
      </c>
      <c r="E25" s="16" t="s">
        <v>129</v>
      </c>
      <c r="F25" s="15" t="s">
        <v>130</v>
      </c>
      <c r="G25" s="15" t="s">
        <v>50</v>
      </c>
      <c r="H25" s="15" t="s">
        <v>131</v>
      </c>
      <c r="I25" s="18" t="s">
        <v>132</v>
      </c>
      <c r="J25" s="17" t="s">
        <v>133</v>
      </c>
      <c r="K25" s="18" t="s">
        <v>52</v>
      </c>
      <c r="L25" s="19" t="s">
        <v>20</v>
      </c>
      <c r="M25" s="20"/>
      <c r="N25" s="19"/>
      <c r="O25" s="19"/>
      <c r="P25" s="21"/>
      <c r="Q25" s="22" t="n">
        <f aca="false">'Mode d''emploi'!$B$29</f>
        <v>27</v>
      </c>
    </row>
    <row r="26" customFormat="false" ht="35.05" hidden="false" customHeight="false" outlineLevel="0" collapsed="false">
      <c r="A26" s="15" t="n">
        <v>25</v>
      </c>
      <c r="B26" s="15" t="s">
        <v>123</v>
      </c>
      <c r="C26" s="15" t="n">
        <v>1</v>
      </c>
      <c r="D26" s="15" t="s">
        <v>134</v>
      </c>
      <c r="E26" s="16" t="s">
        <v>135</v>
      </c>
      <c r="F26" s="15" t="s">
        <v>136</v>
      </c>
      <c r="G26" s="15" t="s">
        <v>50</v>
      </c>
      <c r="H26" s="15" t="s">
        <v>137</v>
      </c>
      <c r="I26" s="18" t="s">
        <v>138</v>
      </c>
      <c r="J26" s="17" t="s">
        <v>139</v>
      </c>
      <c r="K26" s="18" t="s">
        <v>52</v>
      </c>
      <c r="L26" s="19" t="s">
        <v>20</v>
      </c>
      <c r="M26" s="20"/>
      <c r="N26" s="19"/>
      <c r="O26" s="19"/>
      <c r="P26" s="21"/>
      <c r="Q26" s="22" t="n">
        <f aca="false">'Mode d''emploi'!$B$29</f>
        <v>27</v>
      </c>
    </row>
    <row r="27" customFormat="false" ht="35.05" hidden="false" customHeight="false" outlineLevel="0" collapsed="false">
      <c r="A27" s="15" t="n">
        <v>26</v>
      </c>
      <c r="B27" s="15" t="s">
        <v>123</v>
      </c>
      <c r="C27" s="15" t="n">
        <v>1</v>
      </c>
      <c r="D27" s="15" t="s">
        <v>134</v>
      </c>
      <c r="E27" s="16" t="s">
        <v>140</v>
      </c>
      <c r="F27" s="15" t="s">
        <v>141</v>
      </c>
      <c r="G27" s="15" t="s">
        <v>50</v>
      </c>
      <c r="H27" s="15" t="s">
        <v>142</v>
      </c>
      <c r="I27" s="18" t="s">
        <v>143</v>
      </c>
      <c r="J27" s="17" t="s">
        <v>144</v>
      </c>
      <c r="K27" s="18" t="s">
        <v>52</v>
      </c>
      <c r="L27" s="19" t="s">
        <v>20</v>
      </c>
      <c r="M27" s="20"/>
      <c r="N27" s="19"/>
      <c r="O27" s="19"/>
      <c r="P27" s="21"/>
      <c r="Q27" s="22" t="n">
        <f aca="false">'Mode d''emploi'!$B$29</f>
        <v>27</v>
      </c>
    </row>
    <row r="28" customFormat="false" ht="35.05" hidden="false" customHeight="false" outlineLevel="0" collapsed="false">
      <c r="A28" s="15" t="n">
        <v>27</v>
      </c>
      <c r="B28" s="15" t="s">
        <v>123</v>
      </c>
      <c r="C28" s="15" t="n">
        <v>1</v>
      </c>
      <c r="D28" s="15" t="s">
        <v>134</v>
      </c>
      <c r="E28" s="16" t="s">
        <v>145</v>
      </c>
      <c r="F28" s="15" t="s">
        <v>146</v>
      </c>
      <c r="G28" s="15" t="s">
        <v>50</v>
      </c>
      <c r="H28" s="15" t="s">
        <v>147</v>
      </c>
      <c r="I28" s="18" t="s">
        <v>148</v>
      </c>
      <c r="J28" s="17" t="s">
        <v>149</v>
      </c>
      <c r="K28" s="18" t="s">
        <v>52</v>
      </c>
      <c r="L28" s="19" t="s">
        <v>20</v>
      </c>
      <c r="M28" s="20"/>
      <c r="N28" s="19"/>
      <c r="O28" s="19"/>
      <c r="P28" s="21"/>
      <c r="Q28" s="22" t="n">
        <f aca="false">'Mode d''emploi'!$B$29</f>
        <v>27</v>
      </c>
    </row>
    <row r="29" customFormat="false" ht="57.45" hidden="false" customHeight="false" outlineLevel="0" collapsed="false">
      <c r="A29" s="15" t="n">
        <v>28</v>
      </c>
      <c r="B29" s="15" t="s">
        <v>123</v>
      </c>
      <c r="C29" s="15" t="n">
        <v>1</v>
      </c>
      <c r="D29" s="15" t="s">
        <v>71</v>
      </c>
      <c r="E29" s="16" t="s">
        <v>150</v>
      </c>
      <c r="F29" s="15" t="s">
        <v>151</v>
      </c>
      <c r="G29" s="15" t="s">
        <v>50</v>
      </c>
      <c r="H29" s="15" t="s">
        <v>152</v>
      </c>
      <c r="I29" s="18" t="s">
        <v>153</v>
      </c>
      <c r="J29" s="17" t="s">
        <v>154</v>
      </c>
      <c r="K29" s="18" t="s">
        <v>52</v>
      </c>
      <c r="L29" s="19" t="s">
        <v>20</v>
      </c>
      <c r="M29" s="20"/>
      <c r="N29" s="19"/>
      <c r="O29" s="19"/>
      <c r="P29" s="21"/>
      <c r="Q29" s="22" t="n">
        <f aca="false">'Mode d''emploi'!$B$29</f>
        <v>27</v>
      </c>
    </row>
    <row r="30" customFormat="false" ht="35.05" hidden="false" customHeight="false" outlineLevel="0" collapsed="false">
      <c r="A30" s="15" t="n">
        <v>29</v>
      </c>
      <c r="B30" s="15" t="s">
        <v>123</v>
      </c>
      <c r="C30" s="15" t="n">
        <v>1</v>
      </c>
      <c r="D30" s="15" t="s">
        <v>71</v>
      </c>
      <c r="E30" s="16" t="s">
        <v>155</v>
      </c>
      <c r="F30" s="15" t="s">
        <v>156</v>
      </c>
      <c r="G30" s="15" t="s">
        <v>50</v>
      </c>
      <c r="H30" s="15" t="s">
        <v>157</v>
      </c>
      <c r="I30" s="18" t="s">
        <v>158</v>
      </c>
      <c r="J30" s="17" t="s">
        <v>159</v>
      </c>
      <c r="K30" s="18" t="s">
        <v>52</v>
      </c>
      <c r="L30" s="19" t="s">
        <v>20</v>
      </c>
      <c r="M30" s="20"/>
      <c r="N30" s="19"/>
      <c r="O30" s="19"/>
      <c r="P30" s="21"/>
      <c r="Q30" s="22" t="n">
        <f aca="false">'Mode d''emploi'!$B$29</f>
        <v>27</v>
      </c>
    </row>
    <row r="31" customFormat="false" ht="46.25" hidden="false" customHeight="false" outlineLevel="0" collapsed="false">
      <c r="A31" s="15" t="n">
        <v>30</v>
      </c>
      <c r="B31" s="15" t="s">
        <v>123</v>
      </c>
      <c r="C31" s="15" t="n">
        <v>1</v>
      </c>
      <c r="D31" s="15" t="s">
        <v>94</v>
      </c>
      <c r="E31" s="16" t="s">
        <v>160</v>
      </c>
      <c r="F31" s="15" t="s">
        <v>161</v>
      </c>
      <c r="G31" s="15" t="s">
        <v>50</v>
      </c>
      <c r="H31" s="15" t="s">
        <v>162</v>
      </c>
      <c r="I31" s="18" t="s">
        <v>163</v>
      </c>
      <c r="J31" s="17" t="s">
        <v>164</v>
      </c>
      <c r="K31" s="18" t="s">
        <v>52</v>
      </c>
      <c r="L31" s="19" t="s">
        <v>20</v>
      </c>
      <c r="M31" s="20"/>
      <c r="N31" s="19"/>
      <c r="O31" s="19"/>
      <c r="P31" s="21"/>
      <c r="Q31" s="22" t="n">
        <f aca="false">'Mode d''emploi'!$B$29</f>
        <v>27</v>
      </c>
    </row>
    <row r="32" customFormat="false" ht="46.25" hidden="false" customHeight="false" outlineLevel="0" collapsed="false">
      <c r="A32" s="15" t="n">
        <v>31</v>
      </c>
      <c r="B32" s="15" t="s">
        <v>123</v>
      </c>
      <c r="C32" s="15" t="n">
        <v>1</v>
      </c>
      <c r="D32" s="15" t="s">
        <v>75</v>
      </c>
      <c r="E32" s="16" t="s">
        <v>165</v>
      </c>
      <c r="F32" s="15" t="s">
        <v>166</v>
      </c>
      <c r="G32" s="15" t="s">
        <v>50</v>
      </c>
      <c r="H32" s="15" t="s">
        <v>167</v>
      </c>
      <c r="I32" s="18" t="s">
        <v>168</v>
      </c>
      <c r="J32" s="17" t="s">
        <v>169</v>
      </c>
      <c r="K32" s="18" t="s">
        <v>52</v>
      </c>
      <c r="L32" s="19" t="s">
        <v>20</v>
      </c>
      <c r="M32" s="20"/>
      <c r="N32" s="19"/>
      <c r="O32" s="19"/>
      <c r="P32" s="21"/>
      <c r="Q32" s="22" t="n">
        <f aca="false">'Mode d''emploi'!$B$29</f>
        <v>27</v>
      </c>
    </row>
    <row r="33" customFormat="false" ht="35.05" hidden="false" customHeight="false" outlineLevel="0" collapsed="false">
      <c r="A33" s="15" t="n">
        <v>32</v>
      </c>
      <c r="B33" s="15" t="s">
        <v>123</v>
      </c>
      <c r="C33" s="15" t="n">
        <v>1</v>
      </c>
      <c r="D33" s="15" t="s">
        <v>75</v>
      </c>
      <c r="E33" s="16" t="s">
        <v>170</v>
      </c>
      <c r="F33" s="15" t="s">
        <v>171</v>
      </c>
      <c r="G33" s="15" t="s">
        <v>50</v>
      </c>
      <c r="H33" s="15" t="s">
        <v>172</v>
      </c>
      <c r="I33" s="18" t="s">
        <v>173</v>
      </c>
      <c r="J33" s="17" t="s">
        <v>174</v>
      </c>
      <c r="K33" s="18" t="s">
        <v>52</v>
      </c>
      <c r="L33" s="19" t="s">
        <v>20</v>
      </c>
      <c r="M33" s="20"/>
      <c r="N33" s="19"/>
      <c r="O33" s="19"/>
      <c r="P33" s="21"/>
      <c r="Q33" s="22" t="n">
        <f aca="false">'Mode d''emploi'!$B$29</f>
        <v>27</v>
      </c>
    </row>
    <row r="34" customFormat="false" ht="35.05" hidden="false" customHeight="false" outlineLevel="0" collapsed="false">
      <c r="A34" s="15" t="n">
        <v>33</v>
      </c>
      <c r="B34" s="15" t="s">
        <v>123</v>
      </c>
      <c r="C34" s="15" t="n">
        <v>1</v>
      </c>
      <c r="D34" s="15" t="s">
        <v>47</v>
      </c>
      <c r="E34" s="16" t="s">
        <v>175</v>
      </c>
      <c r="F34" s="15" t="s">
        <v>176</v>
      </c>
      <c r="G34" s="15" t="s">
        <v>64</v>
      </c>
      <c r="H34" s="15" t="s">
        <v>177</v>
      </c>
      <c r="I34" s="18" t="s">
        <v>178</v>
      </c>
      <c r="J34" s="17" t="s">
        <v>179</v>
      </c>
      <c r="K34" s="18" t="s">
        <v>52</v>
      </c>
      <c r="L34" s="19" t="s">
        <v>20</v>
      </c>
      <c r="M34" s="20"/>
      <c r="N34" s="19"/>
      <c r="O34" s="19"/>
      <c r="P34" s="21"/>
      <c r="Q34" s="22" t="n">
        <f aca="false">'Mode d''emploi'!$B$29</f>
        <v>27</v>
      </c>
    </row>
    <row r="35" customFormat="false" ht="35.05" hidden="false" customHeight="false" outlineLevel="0" collapsed="false">
      <c r="A35" s="15" t="n">
        <v>34</v>
      </c>
      <c r="B35" s="15" t="s">
        <v>123</v>
      </c>
      <c r="C35" s="15" t="n">
        <v>1</v>
      </c>
      <c r="D35" s="15" t="s">
        <v>47</v>
      </c>
      <c r="E35" s="16" t="s">
        <v>180</v>
      </c>
      <c r="F35" s="15" t="s">
        <v>181</v>
      </c>
      <c r="G35" s="15" t="s">
        <v>64</v>
      </c>
      <c r="H35" s="15" t="s">
        <v>182</v>
      </c>
      <c r="I35" s="18" t="s">
        <v>183</v>
      </c>
      <c r="J35" s="17" t="s">
        <v>184</v>
      </c>
      <c r="K35" s="18" t="s">
        <v>52</v>
      </c>
      <c r="L35" s="19" t="s">
        <v>20</v>
      </c>
      <c r="M35" s="20"/>
      <c r="N35" s="19"/>
      <c r="O35" s="19"/>
      <c r="P35" s="21"/>
      <c r="Q35" s="22" t="n">
        <f aca="false">'Mode d''emploi'!$B$29</f>
        <v>27</v>
      </c>
    </row>
    <row r="36" customFormat="false" ht="35.05" hidden="false" customHeight="false" outlineLevel="0" collapsed="false">
      <c r="A36" s="15" t="n">
        <v>35</v>
      </c>
      <c r="B36" s="15" t="s">
        <v>123</v>
      </c>
      <c r="C36" s="15" t="n">
        <v>1</v>
      </c>
      <c r="D36" s="15" t="s">
        <v>47</v>
      </c>
      <c r="E36" s="16" t="s">
        <v>185</v>
      </c>
      <c r="F36" s="15" t="s">
        <v>186</v>
      </c>
      <c r="G36" s="15" t="s">
        <v>64</v>
      </c>
      <c r="H36" s="15" t="s">
        <v>187</v>
      </c>
      <c r="I36" s="18" t="s">
        <v>188</v>
      </c>
      <c r="J36" s="17" t="s">
        <v>189</v>
      </c>
      <c r="K36" s="18" t="s">
        <v>52</v>
      </c>
      <c r="L36" s="19" t="s">
        <v>20</v>
      </c>
      <c r="M36" s="20"/>
      <c r="N36" s="19"/>
      <c r="O36" s="19"/>
      <c r="P36" s="21"/>
      <c r="Q36" s="22" t="n">
        <f aca="false">'Mode d''emploi'!$B$29</f>
        <v>27</v>
      </c>
    </row>
    <row r="37" customFormat="false" ht="35.05" hidden="false" customHeight="false" outlineLevel="0" collapsed="false">
      <c r="A37" s="15" t="n">
        <v>36</v>
      </c>
      <c r="B37" s="15" t="s">
        <v>123</v>
      </c>
      <c r="C37" s="15" t="n">
        <v>1</v>
      </c>
      <c r="D37" s="15" t="s">
        <v>134</v>
      </c>
      <c r="E37" s="16" t="s">
        <v>190</v>
      </c>
      <c r="F37" s="15" t="s">
        <v>191</v>
      </c>
      <c r="G37" s="15" t="s">
        <v>64</v>
      </c>
      <c r="H37" s="15" t="s">
        <v>192</v>
      </c>
      <c r="I37" s="18" t="s">
        <v>193</v>
      </c>
      <c r="J37" s="17" t="s">
        <v>194</v>
      </c>
      <c r="K37" s="18" t="s">
        <v>52</v>
      </c>
      <c r="L37" s="19" t="s">
        <v>20</v>
      </c>
      <c r="M37" s="20"/>
      <c r="N37" s="19"/>
      <c r="O37" s="19"/>
      <c r="P37" s="21"/>
      <c r="Q37" s="22" t="n">
        <f aca="false">'Mode d''emploi'!$B$29</f>
        <v>27</v>
      </c>
    </row>
    <row r="38" customFormat="false" ht="35.05" hidden="false" customHeight="false" outlineLevel="0" collapsed="false">
      <c r="A38" s="23" t="n">
        <v>37</v>
      </c>
      <c r="B38" s="23" t="s">
        <v>123</v>
      </c>
      <c r="C38" s="23" t="n">
        <v>2</v>
      </c>
      <c r="D38" s="23" t="s">
        <v>47</v>
      </c>
      <c r="E38" s="24" t="s">
        <v>195</v>
      </c>
      <c r="F38" s="23" t="s">
        <v>196</v>
      </c>
      <c r="G38" s="23" t="s">
        <v>50</v>
      </c>
      <c r="H38" s="23" t="s">
        <v>197</v>
      </c>
      <c r="I38" s="18" t="s">
        <v>198</v>
      </c>
      <c r="J38" s="17" t="s">
        <v>199</v>
      </c>
      <c r="K38" s="18" t="s">
        <v>52</v>
      </c>
      <c r="L38" s="19" t="s">
        <v>20</v>
      </c>
      <c r="M38" s="20"/>
      <c r="N38" s="19"/>
      <c r="O38" s="19"/>
      <c r="P38" s="21"/>
      <c r="Q38" s="22" t="n">
        <f aca="false">'Mode d''emploi'!$B$29</f>
        <v>27</v>
      </c>
    </row>
    <row r="39" customFormat="false" ht="35.05" hidden="false" customHeight="false" outlineLevel="0" collapsed="false">
      <c r="A39" s="23" t="n">
        <v>38</v>
      </c>
      <c r="B39" s="23" t="s">
        <v>123</v>
      </c>
      <c r="C39" s="23" t="n">
        <v>2</v>
      </c>
      <c r="D39" s="23" t="s">
        <v>134</v>
      </c>
      <c r="E39" s="24" t="s">
        <v>200</v>
      </c>
      <c r="F39" s="23" t="s">
        <v>201</v>
      </c>
      <c r="G39" s="23" t="s">
        <v>50</v>
      </c>
      <c r="H39" s="23" t="s">
        <v>202</v>
      </c>
      <c r="I39" s="18" t="s">
        <v>203</v>
      </c>
      <c r="J39" s="17" t="s">
        <v>204</v>
      </c>
      <c r="K39" s="18" t="s">
        <v>52</v>
      </c>
      <c r="L39" s="19" t="s">
        <v>20</v>
      </c>
      <c r="M39" s="20"/>
      <c r="N39" s="19"/>
      <c r="O39" s="19"/>
      <c r="P39" s="21"/>
      <c r="Q39" s="22" t="n">
        <f aca="false">'Mode d''emploi'!$B$29</f>
        <v>27</v>
      </c>
    </row>
    <row r="40" customFormat="false" ht="35.05" hidden="false" customHeight="false" outlineLevel="0" collapsed="false">
      <c r="A40" s="23" t="n">
        <v>39</v>
      </c>
      <c r="B40" s="23" t="s">
        <v>123</v>
      </c>
      <c r="C40" s="23" t="n">
        <v>2</v>
      </c>
      <c r="D40" s="23" t="s">
        <v>134</v>
      </c>
      <c r="E40" s="24" t="s">
        <v>205</v>
      </c>
      <c r="F40" s="23" t="s">
        <v>141</v>
      </c>
      <c r="G40" s="23" t="s">
        <v>50</v>
      </c>
      <c r="H40" s="23" t="s">
        <v>206</v>
      </c>
      <c r="I40" s="18" t="s">
        <v>207</v>
      </c>
      <c r="J40" s="17" t="s">
        <v>208</v>
      </c>
      <c r="K40" s="18" t="s">
        <v>52</v>
      </c>
      <c r="L40" s="19" t="s">
        <v>20</v>
      </c>
      <c r="M40" s="20"/>
      <c r="N40" s="19"/>
      <c r="O40" s="19"/>
      <c r="P40" s="21"/>
      <c r="Q40" s="22" t="n">
        <f aca="false">'Mode d''emploi'!$B$29</f>
        <v>27</v>
      </c>
    </row>
    <row r="41" customFormat="false" ht="46.25" hidden="false" customHeight="false" outlineLevel="0" collapsed="false">
      <c r="A41" s="23" t="n">
        <v>40</v>
      </c>
      <c r="B41" s="23" t="s">
        <v>123</v>
      </c>
      <c r="C41" s="23" t="n">
        <v>2</v>
      </c>
      <c r="D41" s="23" t="s">
        <v>71</v>
      </c>
      <c r="E41" s="24" t="s">
        <v>209</v>
      </c>
      <c r="F41" s="23" t="s">
        <v>210</v>
      </c>
      <c r="G41" s="23" t="s">
        <v>50</v>
      </c>
      <c r="H41" s="23" t="s">
        <v>211</v>
      </c>
      <c r="I41" s="18" t="s">
        <v>212</v>
      </c>
      <c r="J41" s="17" t="s">
        <v>213</v>
      </c>
      <c r="K41" s="18" t="s">
        <v>52</v>
      </c>
      <c r="L41" s="19" t="s">
        <v>20</v>
      </c>
      <c r="M41" s="20"/>
      <c r="N41" s="19"/>
      <c r="O41" s="19"/>
      <c r="P41" s="21"/>
      <c r="Q41" s="22" t="n">
        <f aca="false">'Mode d''emploi'!$B$29</f>
        <v>27</v>
      </c>
    </row>
    <row r="42" customFormat="false" ht="35.05" hidden="false" customHeight="false" outlineLevel="0" collapsed="false">
      <c r="A42" s="23" t="n">
        <v>41</v>
      </c>
      <c r="B42" s="23" t="s">
        <v>123</v>
      </c>
      <c r="C42" s="23" t="n">
        <v>2</v>
      </c>
      <c r="D42" s="23" t="s">
        <v>71</v>
      </c>
      <c r="E42" s="24" t="s">
        <v>214</v>
      </c>
      <c r="F42" s="23" t="s">
        <v>215</v>
      </c>
      <c r="G42" s="23" t="s">
        <v>50</v>
      </c>
      <c r="H42" s="23" t="s">
        <v>216</v>
      </c>
      <c r="I42" s="18" t="s">
        <v>217</v>
      </c>
      <c r="J42" s="17" t="s">
        <v>218</v>
      </c>
      <c r="K42" s="18" t="s">
        <v>52</v>
      </c>
      <c r="L42" s="19" t="s">
        <v>20</v>
      </c>
      <c r="M42" s="20"/>
      <c r="N42" s="19"/>
      <c r="O42" s="19"/>
      <c r="P42" s="21"/>
      <c r="Q42" s="22" t="n">
        <f aca="false">'Mode d''emploi'!$B$29</f>
        <v>27</v>
      </c>
    </row>
    <row r="43" customFormat="false" ht="46.25" hidden="false" customHeight="false" outlineLevel="0" collapsed="false">
      <c r="A43" s="23" t="n">
        <v>42</v>
      </c>
      <c r="B43" s="23" t="s">
        <v>123</v>
      </c>
      <c r="C43" s="23" t="n">
        <v>2</v>
      </c>
      <c r="D43" s="23" t="s">
        <v>94</v>
      </c>
      <c r="E43" s="24" t="s">
        <v>219</v>
      </c>
      <c r="F43" s="23" t="s">
        <v>220</v>
      </c>
      <c r="G43" s="23" t="s">
        <v>50</v>
      </c>
      <c r="H43" s="23" t="s">
        <v>221</v>
      </c>
      <c r="I43" s="18" t="s">
        <v>222</v>
      </c>
      <c r="J43" s="17" t="s">
        <v>223</v>
      </c>
      <c r="K43" s="18" t="s">
        <v>52</v>
      </c>
      <c r="L43" s="19" t="s">
        <v>20</v>
      </c>
      <c r="M43" s="20"/>
      <c r="N43" s="19"/>
      <c r="O43" s="19"/>
      <c r="P43" s="21"/>
      <c r="Q43" s="22" t="n">
        <f aca="false">'Mode d''emploi'!$B$29</f>
        <v>27</v>
      </c>
    </row>
    <row r="44" customFormat="false" ht="46.25" hidden="false" customHeight="false" outlineLevel="0" collapsed="false">
      <c r="A44" s="23" t="n">
        <v>43</v>
      </c>
      <c r="B44" s="23" t="s">
        <v>123</v>
      </c>
      <c r="C44" s="23" t="n">
        <v>2</v>
      </c>
      <c r="D44" s="23" t="s">
        <v>94</v>
      </c>
      <c r="E44" s="24" t="s">
        <v>224</v>
      </c>
      <c r="F44" s="23" t="s">
        <v>225</v>
      </c>
      <c r="G44" s="23" t="s">
        <v>50</v>
      </c>
      <c r="H44" s="23" t="s">
        <v>226</v>
      </c>
      <c r="I44" s="18" t="s">
        <v>227</v>
      </c>
      <c r="J44" s="17" t="s">
        <v>228</v>
      </c>
      <c r="K44" s="18" t="s">
        <v>52</v>
      </c>
      <c r="L44" s="19" t="s">
        <v>20</v>
      </c>
      <c r="M44" s="20"/>
      <c r="N44" s="19"/>
      <c r="O44" s="19"/>
      <c r="P44" s="21"/>
      <c r="Q44" s="22" t="n">
        <f aca="false">'Mode d''emploi'!$B$29</f>
        <v>27</v>
      </c>
    </row>
    <row r="45" customFormat="false" ht="57.45" hidden="false" customHeight="false" outlineLevel="0" collapsed="false">
      <c r="A45" s="23" t="n">
        <v>44</v>
      </c>
      <c r="B45" s="23" t="s">
        <v>123</v>
      </c>
      <c r="C45" s="23" t="n">
        <v>2</v>
      </c>
      <c r="D45" s="23" t="s">
        <v>94</v>
      </c>
      <c r="E45" s="24" t="s">
        <v>229</v>
      </c>
      <c r="F45" s="23" t="s">
        <v>230</v>
      </c>
      <c r="G45" s="23" t="s">
        <v>50</v>
      </c>
      <c r="H45" s="23" t="s">
        <v>231</v>
      </c>
      <c r="I45" s="18" t="s">
        <v>232</v>
      </c>
      <c r="J45" s="17" t="s">
        <v>233</v>
      </c>
      <c r="K45" s="18" t="s">
        <v>52</v>
      </c>
      <c r="L45" s="19" t="s">
        <v>20</v>
      </c>
      <c r="M45" s="20"/>
      <c r="N45" s="19"/>
      <c r="O45" s="19"/>
      <c r="P45" s="21"/>
      <c r="Q45" s="22" t="n">
        <f aca="false">'Mode d''emploi'!$B$29</f>
        <v>27</v>
      </c>
    </row>
    <row r="46" customFormat="false" ht="57.45" hidden="false" customHeight="false" outlineLevel="0" collapsed="false">
      <c r="A46" s="23" t="n">
        <v>45</v>
      </c>
      <c r="B46" s="23" t="s">
        <v>123</v>
      </c>
      <c r="C46" s="23" t="n">
        <v>2</v>
      </c>
      <c r="D46" s="23" t="s">
        <v>94</v>
      </c>
      <c r="E46" s="24" t="s">
        <v>234</v>
      </c>
      <c r="F46" s="23" t="s">
        <v>235</v>
      </c>
      <c r="G46" s="23" t="s">
        <v>50</v>
      </c>
      <c r="H46" s="23" t="s">
        <v>236</v>
      </c>
      <c r="I46" s="18" t="s">
        <v>237</v>
      </c>
      <c r="J46" s="17" t="s">
        <v>238</v>
      </c>
      <c r="K46" s="18" t="s">
        <v>52</v>
      </c>
      <c r="L46" s="19" t="s">
        <v>20</v>
      </c>
      <c r="M46" s="20"/>
      <c r="N46" s="19"/>
      <c r="O46" s="19"/>
      <c r="P46" s="21"/>
      <c r="Q46" s="22" t="n">
        <f aca="false">'Mode d''emploi'!$B$29</f>
        <v>27</v>
      </c>
    </row>
    <row r="47" customFormat="false" ht="46.25" hidden="false" customHeight="false" outlineLevel="0" collapsed="false">
      <c r="A47" s="23" t="n">
        <v>46</v>
      </c>
      <c r="B47" s="23" t="s">
        <v>123</v>
      </c>
      <c r="C47" s="23" t="n">
        <v>2</v>
      </c>
      <c r="D47" s="23" t="s">
        <v>94</v>
      </c>
      <c r="E47" s="24" t="s">
        <v>239</v>
      </c>
      <c r="F47" s="23" t="s">
        <v>86</v>
      </c>
      <c r="G47" s="23" t="s">
        <v>50</v>
      </c>
      <c r="H47" s="23" t="s">
        <v>240</v>
      </c>
      <c r="I47" s="18" t="s">
        <v>241</v>
      </c>
      <c r="J47" s="17" t="s">
        <v>242</v>
      </c>
      <c r="K47" s="18" t="s">
        <v>52</v>
      </c>
      <c r="L47" s="19" t="s">
        <v>20</v>
      </c>
      <c r="M47" s="20"/>
      <c r="N47" s="19"/>
      <c r="O47" s="19"/>
      <c r="P47" s="21"/>
      <c r="Q47" s="22" t="n">
        <f aca="false">'Mode d''emploi'!$B$29</f>
        <v>27</v>
      </c>
    </row>
    <row r="48" customFormat="false" ht="46.25" hidden="false" customHeight="false" outlineLevel="0" collapsed="false">
      <c r="A48" s="23" t="n">
        <v>47</v>
      </c>
      <c r="B48" s="23" t="s">
        <v>123</v>
      </c>
      <c r="C48" s="23" t="n">
        <v>2</v>
      </c>
      <c r="D48" s="23" t="s">
        <v>94</v>
      </c>
      <c r="E48" s="24" t="s">
        <v>243</v>
      </c>
      <c r="F48" s="23" t="s">
        <v>136</v>
      </c>
      <c r="G48" s="23" t="s">
        <v>50</v>
      </c>
      <c r="H48" s="23" t="s">
        <v>244</v>
      </c>
      <c r="I48" s="18" t="s">
        <v>245</v>
      </c>
      <c r="J48" s="17" t="s">
        <v>246</v>
      </c>
      <c r="K48" s="18" t="s">
        <v>52</v>
      </c>
      <c r="L48" s="19" t="s">
        <v>20</v>
      </c>
      <c r="M48" s="20"/>
      <c r="N48" s="19"/>
      <c r="O48" s="19"/>
      <c r="P48" s="21"/>
      <c r="Q48" s="22" t="n">
        <f aca="false">'Mode d''emploi'!$B$29</f>
        <v>27</v>
      </c>
    </row>
    <row r="49" customFormat="false" ht="35.05" hidden="false" customHeight="false" outlineLevel="0" collapsed="false">
      <c r="A49" s="23" t="n">
        <v>48</v>
      </c>
      <c r="B49" s="23" t="s">
        <v>123</v>
      </c>
      <c r="C49" s="23" t="n">
        <v>2</v>
      </c>
      <c r="D49" s="23" t="s">
        <v>94</v>
      </c>
      <c r="E49" s="24" t="s">
        <v>247</v>
      </c>
      <c r="F49" s="23" t="s">
        <v>248</v>
      </c>
      <c r="G49" s="23" t="s">
        <v>50</v>
      </c>
      <c r="H49" s="23" t="s">
        <v>249</v>
      </c>
      <c r="I49" s="18" t="s">
        <v>250</v>
      </c>
      <c r="J49" s="17" t="s">
        <v>251</v>
      </c>
      <c r="K49" s="18" t="s">
        <v>52</v>
      </c>
      <c r="L49" s="19" t="s">
        <v>20</v>
      </c>
      <c r="M49" s="20"/>
      <c r="N49" s="19"/>
      <c r="O49" s="19"/>
      <c r="P49" s="21"/>
      <c r="Q49" s="22" t="n">
        <f aca="false">'Mode d''emploi'!$B$29</f>
        <v>27</v>
      </c>
    </row>
    <row r="50" customFormat="false" ht="46.25" hidden="false" customHeight="false" outlineLevel="0" collapsed="false">
      <c r="A50" s="23" t="n">
        <v>49</v>
      </c>
      <c r="B50" s="23" t="s">
        <v>123</v>
      </c>
      <c r="C50" s="23" t="n">
        <v>2</v>
      </c>
      <c r="D50" s="23" t="s">
        <v>75</v>
      </c>
      <c r="E50" s="24" t="s">
        <v>252</v>
      </c>
      <c r="F50" s="23" t="s">
        <v>146</v>
      </c>
      <c r="G50" s="23" t="s">
        <v>50</v>
      </c>
      <c r="H50" s="23" t="s">
        <v>253</v>
      </c>
      <c r="I50" s="18" t="s">
        <v>254</v>
      </c>
      <c r="J50" s="17" t="s">
        <v>255</v>
      </c>
      <c r="K50" s="18" t="s">
        <v>52</v>
      </c>
      <c r="L50" s="19" t="s">
        <v>20</v>
      </c>
      <c r="M50" s="20"/>
      <c r="N50" s="19"/>
      <c r="O50" s="19"/>
      <c r="P50" s="21"/>
      <c r="Q50" s="22" t="n">
        <f aca="false">'Mode d''emploi'!$B$29</f>
        <v>27</v>
      </c>
    </row>
    <row r="51" customFormat="false" ht="46.25" hidden="false" customHeight="false" outlineLevel="0" collapsed="false">
      <c r="A51" s="23" t="n">
        <v>50</v>
      </c>
      <c r="B51" s="23" t="s">
        <v>123</v>
      </c>
      <c r="C51" s="23" t="n">
        <v>2</v>
      </c>
      <c r="D51" s="23" t="s">
        <v>75</v>
      </c>
      <c r="E51" s="24" t="s">
        <v>256</v>
      </c>
      <c r="F51" s="23" t="s">
        <v>86</v>
      </c>
      <c r="G51" s="23" t="s">
        <v>50</v>
      </c>
      <c r="H51" s="23" t="s">
        <v>257</v>
      </c>
      <c r="I51" s="18" t="s">
        <v>258</v>
      </c>
      <c r="J51" s="17" t="s">
        <v>259</v>
      </c>
      <c r="K51" s="18" t="s">
        <v>52</v>
      </c>
      <c r="L51" s="19" t="s">
        <v>20</v>
      </c>
      <c r="M51" s="20"/>
      <c r="N51" s="19"/>
      <c r="O51" s="19"/>
      <c r="P51" s="21"/>
      <c r="Q51" s="22" t="n">
        <f aca="false">'Mode d''emploi'!$B$29</f>
        <v>27</v>
      </c>
    </row>
    <row r="52" customFormat="false" ht="35.05" hidden="false" customHeight="false" outlineLevel="0" collapsed="false">
      <c r="A52" s="23" t="n">
        <v>51</v>
      </c>
      <c r="B52" s="23" t="s">
        <v>123</v>
      </c>
      <c r="C52" s="23" t="n">
        <v>2</v>
      </c>
      <c r="D52" s="23" t="s">
        <v>75</v>
      </c>
      <c r="E52" s="24" t="s">
        <v>260</v>
      </c>
      <c r="F52" s="23" t="s">
        <v>130</v>
      </c>
      <c r="G52" s="23" t="s">
        <v>50</v>
      </c>
      <c r="H52" s="23" t="s">
        <v>261</v>
      </c>
      <c r="I52" s="18" t="s">
        <v>262</v>
      </c>
      <c r="J52" s="17" t="s">
        <v>263</v>
      </c>
      <c r="K52" s="18" t="s">
        <v>52</v>
      </c>
      <c r="L52" s="19" t="s">
        <v>20</v>
      </c>
      <c r="M52" s="20"/>
      <c r="N52" s="19"/>
      <c r="O52" s="19"/>
      <c r="P52" s="21"/>
      <c r="Q52" s="22" t="n">
        <f aca="false">'Mode d''emploi'!$B$29</f>
        <v>27</v>
      </c>
    </row>
    <row r="53" customFormat="false" ht="35.05" hidden="false" customHeight="false" outlineLevel="0" collapsed="false">
      <c r="A53" s="23" t="n">
        <v>52</v>
      </c>
      <c r="B53" s="23" t="s">
        <v>123</v>
      </c>
      <c r="C53" s="23" t="n">
        <v>2</v>
      </c>
      <c r="D53" s="23" t="s">
        <v>75</v>
      </c>
      <c r="E53" s="24" t="s">
        <v>264</v>
      </c>
      <c r="F53" s="23" t="s">
        <v>80</v>
      </c>
      <c r="G53" s="23" t="s">
        <v>50</v>
      </c>
      <c r="H53" s="23" t="s">
        <v>265</v>
      </c>
      <c r="I53" s="18" t="s">
        <v>266</v>
      </c>
      <c r="J53" s="17" t="s">
        <v>267</v>
      </c>
      <c r="K53" s="18" t="s">
        <v>52</v>
      </c>
      <c r="L53" s="19" t="s">
        <v>20</v>
      </c>
      <c r="M53" s="20"/>
      <c r="N53" s="19"/>
      <c r="O53" s="19"/>
      <c r="P53" s="21"/>
      <c r="Q53" s="22" t="n">
        <f aca="false">'Mode d''emploi'!$B$29</f>
        <v>27</v>
      </c>
    </row>
    <row r="54" customFormat="false" ht="57.45" hidden="false" customHeight="false" outlineLevel="0" collapsed="false">
      <c r="A54" s="23" t="n">
        <v>53</v>
      </c>
      <c r="B54" s="23" t="s">
        <v>123</v>
      </c>
      <c r="C54" s="23" t="n">
        <v>2</v>
      </c>
      <c r="D54" s="23" t="s">
        <v>75</v>
      </c>
      <c r="E54" s="24" t="s">
        <v>268</v>
      </c>
      <c r="F54" s="23" t="s">
        <v>269</v>
      </c>
      <c r="G54" s="23" t="s">
        <v>50</v>
      </c>
      <c r="H54" s="23" t="s">
        <v>270</v>
      </c>
      <c r="I54" s="18" t="s">
        <v>271</v>
      </c>
      <c r="J54" s="17" t="s">
        <v>272</v>
      </c>
      <c r="K54" s="18" t="s">
        <v>52</v>
      </c>
      <c r="L54" s="19" t="s">
        <v>20</v>
      </c>
      <c r="M54" s="20"/>
      <c r="N54" s="19"/>
      <c r="O54" s="19"/>
      <c r="P54" s="21"/>
      <c r="Q54" s="22" t="n">
        <f aca="false">'Mode d''emploi'!$B$29</f>
        <v>27</v>
      </c>
    </row>
    <row r="55" customFormat="false" ht="35.05" hidden="false" customHeight="false" outlineLevel="0" collapsed="false">
      <c r="A55" s="23" t="n">
        <v>54</v>
      </c>
      <c r="B55" s="23" t="s">
        <v>123</v>
      </c>
      <c r="C55" s="23" t="n">
        <v>2</v>
      </c>
      <c r="D55" s="23" t="s">
        <v>75</v>
      </c>
      <c r="E55" s="24" t="s">
        <v>273</v>
      </c>
      <c r="F55" s="23" t="s">
        <v>274</v>
      </c>
      <c r="G55" s="23" t="s">
        <v>50</v>
      </c>
      <c r="H55" s="23" t="s">
        <v>275</v>
      </c>
      <c r="I55" s="18" t="s">
        <v>276</v>
      </c>
      <c r="J55" s="17" t="s">
        <v>277</v>
      </c>
      <c r="K55" s="18" t="s">
        <v>52</v>
      </c>
      <c r="L55" s="19" t="s">
        <v>20</v>
      </c>
      <c r="M55" s="20"/>
      <c r="N55" s="19"/>
      <c r="O55" s="19"/>
      <c r="P55" s="21"/>
      <c r="Q55" s="22" t="n">
        <f aca="false">'Mode d''emploi'!$B$29</f>
        <v>27</v>
      </c>
    </row>
    <row r="56" customFormat="false" ht="35.05" hidden="false" customHeight="false" outlineLevel="0" collapsed="false">
      <c r="A56" s="23" t="n">
        <v>55</v>
      </c>
      <c r="B56" s="23" t="s">
        <v>123</v>
      </c>
      <c r="C56" s="23" t="n">
        <v>2</v>
      </c>
      <c r="D56" s="23" t="s">
        <v>75</v>
      </c>
      <c r="E56" s="24" t="s">
        <v>278</v>
      </c>
      <c r="F56" s="23" t="s">
        <v>279</v>
      </c>
      <c r="G56" s="23" t="s">
        <v>50</v>
      </c>
      <c r="H56" s="23" t="s">
        <v>280</v>
      </c>
      <c r="I56" s="18" t="s">
        <v>281</v>
      </c>
      <c r="J56" s="17" t="s">
        <v>282</v>
      </c>
      <c r="K56" s="18" t="s">
        <v>52</v>
      </c>
      <c r="L56" s="19" t="s">
        <v>20</v>
      </c>
      <c r="M56" s="20"/>
      <c r="N56" s="19"/>
      <c r="O56" s="19"/>
      <c r="P56" s="21"/>
      <c r="Q56" s="22" t="n">
        <f aca="false">'Mode d''emploi'!$B$29</f>
        <v>27</v>
      </c>
    </row>
    <row r="57" customFormat="false" ht="35.05" hidden="false" customHeight="false" outlineLevel="0" collapsed="false">
      <c r="A57" s="23" t="n">
        <v>56</v>
      </c>
      <c r="B57" s="23" t="s">
        <v>123</v>
      </c>
      <c r="C57" s="23" t="n">
        <v>2</v>
      </c>
      <c r="D57" s="23" t="s">
        <v>75</v>
      </c>
      <c r="E57" s="24" t="s">
        <v>283</v>
      </c>
      <c r="F57" s="23" t="s">
        <v>80</v>
      </c>
      <c r="G57" s="23" t="s">
        <v>50</v>
      </c>
      <c r="H57" s="23" t="s">
        <v>284</v>
      </c>
      <c r="I57" s="18" t="s">
        <v>285</v>
      </c>
      <c r="J57" s="17" t="s">
        <v>286</v>
      </c>
      <c r="K57" s="18" t="s">
        <v>52</v>
      </c>
      <c r="L57" s="19" t="s">
        <v>20</v>
      </c>
      <c r="M57" s="20"/>
      <c r="N57" s="19"/>
      <c r="O57" s="19"/>
      <c r="P57" s="21"/>
      <c r="Q57" s="22" t="n">
        <f aca="false">'Mode d''emploi'!$B$29</f>
        <v>27</v>
      </c>
    </row>
    <row r="58" customFormat="false" ht="46.25" hidden="false" customHeight="false" outlineLevel="0" collapsed="false">
      <c r="A58" s="23" t="n">
        <v>57</v>
      </c>
      <c r="B58" s="23" t="s">
        <v>123</v>
      </c>
      <c r="C58" s="23" t="n">
        <v>2</v>
      </c>
      <c r="D58" s="23" t="s">
        <v>75</v>
      </c>
      <c r="E58" s="24" t="s">
        <v>287</v>
      </c>
      <c r="F58" s="23" t="s">
        <v>171</v>
      </c>
      <c r="G58" s="23" t="s">
        <v>50</v>
      </c>
      <c r="H58" s="23" t="s">
        <v>288</v>
      </c>
      <c r="I58" s="18" t="s">
        <v>289</v>
      </c>
      <c r="J58" s="17" t="s">
        <v>290</v>
      </c>
      <c r="K58" s="18" t="s">
        <v>52</v>
      </c>
      <c r="L58" s="19" t="s">
        <v>20</v>
      </c>
      <c r="M58" s="20"/>
      <c r="N58" s="19"/>
      <c r="O58" s="19"/>
      <c r="P58" s="21"/>
      <c r="Q58" s="22" t="n">
        <f aca="false">'Mode d''emploi'!$B$29</f>
        <v>27</v>
      </c>
    </row>
    <row r="59" customFormat="false" ht="35.05" hidden="false" customHeight="false" outlineLevel="0" collapsed="false">
      <c r="A59" s="23" t="n">
        <v>58</v>
      </c>
      <c r="B59" s="23" t="s">
        <v>123</v>
      </c>
      <c r="C59" s="23" t="n">
        <v>2</v>
      </c>
      <c r="D59" s="23" t="s">
        <v>75</v>
      </c>
      <c r="E59" s="24" t="s">
        <v>291</v>
      </c>
      <c r="F59" s="23" t="s">
        <v>292</v>
      </c>
      <c r="G59" s="23" t="s">
        <v>50</v>
      </c>
      <c r="H59" s="23" t="s">
        <v>293</v>
      </c>
      <c r="I59" s="18" t="s">
        <v>294</v>
      </c>
      <c r="J59" s="17" t="s">
        <v>295</v>
      </c>
      <c r="K59" s="18" t="s">
        <v>52</v>
      </c>
      <c r="L59" s="19" t="s">
        <v>20</v>
      </c>
      <c r="M59" s="20"/>
      <c r="N59" s="19"/>
      <c r="O59" s="19"/>
      <c r="P59" s="21"/>
      <c r="Q59" s="22" t="n">
        <f aca="false">'Mode d''emploi'!$B$29</f>
        <v>27</v>
      </c>
    </row>
    <row r="60" customFormat="false" ht="46.25" hidden="false" customHeight="false" outlineLevel="0" collapsed="false">
      <c r="A60" s="23" t="n">
        <v>59</v>
      </c>
      <c r="B60" s="23" t="s">
        <v>123</v>
      </c>
      <c r="C60" s="23" t="n">
        <v>2</v>
      </c>
      <c r="D60" s="23" t="s">
        <v>75</v>
      </c>
      <c r="E60" s="24" t="s">
        <v>296</v>
      </c>
      <c r="F60" s="23" t="s">
        <v>297</v>
      </c>
      <c r="G60" s="23" t="s">
        <v>50</v>
      </c>
      <c r="H60" s="23" t="s">
        <v>298</v>
      </c>
      <c r="I60" s="18" t="s">
        <v>299</v>
      </c>
      <c r="J60" s="17" t="s">
        <v>300</v>
      </c>
      <c r="K60" s="18" t="s">
        <v>52</v>
      </c>
      <c r="L60" s="19" t="s">
        <v>20</v>
      </c>
      <c r="M60" s="20"/>
      <c r="N60" s="19"/>
      <c r="O60" s="19"/>
      <c r="P60" s="21"/>
      <c r="Q60" s="22" t="n">
        <f aca="false">'Mode d''emploi'!$B$29</f>
        <v>27</v>
      </c>
    </row>
    <row r="61" customFormat="false" ht="35.05" hidden="false" customHeight="false" outlineLevel="0" collapsed="false">
      <c r="A61" s="23" t="n">
        <v>60</v>
      </c>
      <c r="B61" s="23" t="s">
        <v>123</v>
      </c>
      <c r="C61" s="23" t="n">
        <v>2</v>
      </c>
      <c r="D61" s="23" t="s">
        <v>67</v>
      </c>
      <c r="E61" s="24" t="s">
        <v>301</v>
      </c>
      <c r="F61" s="23" t="s">
        <v>292</v>
      </c>
      <c r="G61" s="23" t="s">
        <v>50</v>
      </c>
      <c r="H61" s="23" t="s">
        <v>302</v>
      </c>
      <c r="I61" s="18" t="s">
        <v>303</v>
      </c>
      <c r="J61" s="17" t="s">
        <v>304</v>
      </c>
      <c r="K61" s="18" t="s">
        <v>52</v>
      </c>
      <c r="L61" s="19" t="s">
        <v>20</v>
      </c>
      <c r="M61" s="20"/>
      <c r="N61" s="19"/>
      <c r="O61" s="19"/>
      <c r="P61" s="21"/>
      <c r="Q61" s="22" t="n">
        <f aca="false">'Mode d''emploi'!$B$29</f>
        <v>27</v>
      </c>
    </row>
    <row r="62" customFormat="false" ht="46.25" hidden="false" customHeight="false" outlineLevel="0" collapsed="false">
      <c r="A62" s="23" t="n">
        <v>61</v>
      </c>
      <c r="B62" s="23" t="s">
        <v>123</v>
      </c>
      <c r="C62" s="23" t="n">
        <v>2</v>
      </c>
      <c r="D62" s="23" t="s">
        <v>67</v>
      </c>
      <c r="E62" s="24" t="s">
        <v>305</v>
      </c>
      <c r="F62" s="23" t="s">
        <v>306</v>
      </c>
      <c r="G62" s="23" t="s">
        <v>50</v>
      </c>
      <c r="H62" s="23" t="s">
        <v>307</v>
      </c>
      <c r="I62" s="17"/>
      <c r="J62" s="17"/>
      <c r="K62" s="18" t="s">
        <v>52</v>
      </c>
      <c r="L62" s="19" t="s">
        <v>20</v>
      </c>
      <c r="M62" s="20"/>
      <c r="N62" s="19"/>
      <c r="O62" s="19"/>
      <c r="P62" s="21"/>
      <c r="Q62" s="22" t="n">
        <f aca="false">'Mode d''emploi'!$B$29</f>
        <v>27</v>
      </c>
    </row>
    <row r="63" customFormat="false" ht="35.05" hidden="false" customHeight="false" outlineLevel="0" collapsed="false">
      <c r="A63" s="23" t="n">
        <v>62</v>
      </c>
      <c r="B63" s="23" t="s">
        <v>123</v>
      </c>
      <c r="C63" s="23" t="n">
        <v>2</v>
      </c>
      <c r="D63" s="23" t="s">
        <v>308</v>
      </c>
      <c r="E63" s="24" t="s">
        <v>309</v>
      </c>
      <c r="F63" s="23" t="s">
        <v>310</v>
      </c>
      <c r="G63" s="23" t="s">
        <v>50</v>
      </c>
      <c r="H63" s="23" t="s">
        <v>311</v>
      </c>
      <c r="I63" s="18" t="s">
        <v>312</v>
      </c>
      <c r="J63" s="17" t="s">
        <v>313</v>
      </c>
      <c r="K63" s="18" t="s">
        <v>52</v>
      </c>
      <c r="L63" s="19" t="s">
        <v>20</v>
      </c>
      <c r="M63" s="20"/>
      <c r="N63" s="19"/>
      <c r="O63" s="19"/>
      <c r="P63" s="21"/>
      <c r="Q63" s="22" t="n">
        <f aca="false">'Mode d''emploi'!$B$29</f>
        <v>27</v>
      </c>
    </row>
    <row r="64" customFormat="false" ht="35.05" hidden="false" customHeight="false" outlineLevel="0" collapsed="false">
      <c r="A64" s="23" t="n">
        <v>63</v>
      </c>
      <c r="B64" s="23" t="s">
        <v>123</v>
      </c>
      <c r="C64" s="23" t="n">
        <v>2</v>
      </c>
      <c r="D64" s="23" t="s">
        <v>308</v>
      </c>
      <c r="E64" s="24" t="s">
        <v>314</v>
      </c>
      <c r="F64" s="23" t="s">
        <v>315</v>
      </c>
      <c r="G64" s="23" t="s">
        <v>50</v>
      </c>
      <c r="H64" s="23" t="s">
        <v>316</v>
      </c>
      <c r="I64" s="18" t="s">
        <v>317</v>
      </c>
      <c r="J64" s="17" t="s">
        <v>318</v>
      </c>
      <c r="K64" s="18" t="s">
        <v>52</v>
      </c>
      <c r="L64" s="19" t="s">
        <v>20</v>
      </c>
      <c r="M64" s="20"/>
      <c r="N64" s="19"/>
      <c r="O64" s="19"/>
      <c r="P64" s="21"/>
      <c r="Q64" s="22" t="n">
        <f aca="false">'Mode d''emploi'!$B$29</f>
        <v>27</v>
      </c>
    </row>
    <row r="65" customFormat="false" ht="35.05" hidden="false" customHeight="false" outlineLevel="0" collapsed="false">
      <c r="A65" s="23" t="n">
        <v>64</v>
      </c>
      <c r="B65" s="23" t="s">
        <v>123</v>
      </c>
      <c r="C65" s="23" t="n">
        <v>2</v>
      </c>
      <c r="D65" s="23" t="s">
        <v>308</v>
      </c>
      <c r="E65" s="24" t="s">
        <v>319</v>
      </c>
      <c r="F65" s="23" t="s">
        <v>320</v>
      </c>
      <c r="G65" s="23" t="s">
        <v>50</v>
      </c>
      <c r="H65" s="23" t="s">
        <v>321</v>
      </c>
      <c r="I65" s="18" t="s">
        <v>322</v>
      </c>
      <c r="J65" s="17" t="s">
        <v>323</v>
      </c>
      <c r="K65" s="18" t="s">
        <v>52</v>
      </c>
      <c r="L65" s="19" t="s">
        <v>20</v>
      </c>
      <c r="M65" s="20"/>
      <c r="N65" s="19"/>
      <c r="O65" s="19"/>
      <c r="P65" s="21"/>
      <c r="Q65" s="22" t="n">
        <f aca="false">'Mode d''emploi'!$B$29</f>
        <v>27</v>
      </c>
    </row>
    <row r="66" customFormat="false" ht="46.25" hidden="false" customHeight="false" outlineLevel="0" collapsed="false">
      <c r="A66" s="23" t="n">
        <v>65</v>
      </c>
      <c r="B66" s="23" t="s">
        <v>123</v>
      </c>
      <c r="C66" s="23" t="n">
        <v>2</v>
      </c>
      <c r="D66" s="23" t="s">
        <v>324</v>
      </c>
      <c r="E66" s="24" t="s">
        <v>325</v>
      </c>
      <c r="F66" s="23" t="s">
        <v>315</v>
      </c>
      <c r="G66" s="23" t="s">
        <v>50</v>
      </c>
      <c r="H66" s="23" t="s">
        <v>326</v>
      </c>
      <c r="I66" s="18" t="s">
        <v>327</v>
      </c>
      <c r="J66" s="17"/>
      <c r="K66" s="18" t="s">
        <v>52</v>
      </c>
      <c r="L66" s="19" t="s">
        <v>20</v>
      </c>
      <c r="M66" s="20"/>
      <c r="N66" s="19"/>
      <c r="O66" s="19"/>
      <c r="P66" s="21"/>
      <c r="Q66" s="22" t="n">
        <f aca="false">'Mode d''emploi'!$B$29</f>
        <v>27</v>
      </c>
    </row>
    <row r="67" customFormat="false" ht="35.05" hidden="false" customHeight="false" outlineLevel="0" collapsed="false">
      <c r="A67" s="23" t="n">
        <v>66</v>
      </c>
      <c r="B67" s="23" t="s">
        <v>123</v>
      </c>
      <c r="C67" s="23" t="n">
        <v>2</v>
      </c>
      <c r="D67" s="23" t="s">
        <v>134</v>
      </c>
      <c r="E67" s="24" t="s">
        <v>328</v>
      </c>
      <c r="F67" s="23" t="s">
        <v>329</v>
      </c>
      <c r="G67" s="23" t="s">
        <v>64</v>
      </c>
      <c r="H67" s="23" t="s">
        <v>330</v>
      </c>
      <c r="I67" s="18" t="s">
        <v>331</v>
      </c>
      <c r="J67" s="17"/>
      <c r="K67" s="18" t="s">
        <v>52</v>
      </c>
      <c r="L67" s="19" t="s">
        <v>20</v>
      </c>
      <c r="M67" s="20"/>
      <c r="N67" s="19"/>
      <c r="O67" s="19"/>
      <c r="P67" s="21"/>
      <c r="Q67" s="22" t="n">
        <f aca="false">'Mode d''emploi'!$B$29</f>
        <v>27</v>
      </c>
    </row>
    <row r="68" customFormat="false" ht="35.05" hidden="false" customHeight="false" outlineLevel="0" collapsed="false">
      <c r="A68" s="23" t="n">
        <v>67</v>
      </c>
      <c r="B68" s="23" t="s">
        <v>123</v>
      </c>
      <c r="C68" s="23" t="n">
        <v>2</v>
      </c>
      <c r="D68" s="23" t="s">
        <v>134</v>
      </c>
      <c r="E68" s="24" t="s">
        <v>332</v>
      </c>
      <c r="F68" s="23" t="s">
        <v>333</v>
      </c>
      <c r="G68" s="23" t="s">
        <v>64</v>
      </c>
      <c r="H68" s="23" t="s">
        <v>334</v>
      </c>
      <c r="I68" s="18" t="s">
        <v>335</v>
      </c>
      <c r="J68" s="17" t="s">
        <v>336</v>
      </c>
      <c r="K68" s="18" t="s">
        <v>52</v>
      </c>
      <c r="L68" s="19" t="s">
        <v>20</v>
      </c>
      <c r="M68" s="20"/>
      <c r="N68" s="19"/>
      <c r="O68" s="19"/>
      <c r="P68" s="21"/>
      <c r="Q68" s="22" t="n">
        <f aca="false">'Mode d''emploi'!$B$29</f>
        <v>27</v>
      </c>
    </row>
    <row r="69" customFormat="false" ht="35.05" hidden="false" customHeight="false" outlineLevel="0" collapsed="false">
      <c r="A69" s="23" t="n">
        <v>68</v>
      </c>
      <c r="B69" s="23" t="s">
        <v>123</v>
      </c>
      <c r="C69" s="23" t="n">
        <v>2</v>
      </c>
      <c r="D69" s="23" t="s">
        <v>134</v>
      </c>
      <c r="E69" s="24" t="s">
        <v>337</v>
      </c>
      <c r="F69" s="23" t="s">
        <v>338</v>
      </c>
      <c r="G69" s="23" t="s">
        <v>64</v>
      </c>
      <c r="H69" s="23" t="s">
        <v>339</v>
      </c>
      <c r="I69" s="18" t="s">
        <v>340</v>
      </c>
      <c r="J69" s="17" t="s">
        <v>341</v>
      </c>
      <c r="K69" s="18" t="s">
        <v>52</v>
      </c>
      <c r="L69" s="19" t="s">
        <v>20</v>
      </c>
      <c r="M69" s="20"/>
      <c r="N69" s="19"/>
      <c r="O69" s="19"/>
      <c r="P69" s="21"/>
      <c r="Q69" s="22" t="n">
        <f aca="false">'Mode d''emploi'!$B$29</f>
        <v>27</v>
      </c>
    </row>
    <row r="70" customFormat="false" ht="35.05" hidden="false" customHeight="false" outlineLevel="0" collapsed="false">
      <c r="A70" s="23" t="n">
        <v>69</v>
      </c>
      <c r="B70" s="23" t="s">
        <v>123</v>
      </c>
      <c r="C70" s="23" t="n">
        <v>2</v>
      </c>
      <c r="D70" s="23" t="s">
        <v>71</v>
      </c>
      <c r="E70" s="24" t="s">
        <v>342</v>
      </c>
      <c r="F70" s="23" t="s">
        <v>343</v>
      </c>
      <c r="G70" s="23" t="s">
        <v>64</v>
      </c>
      <c r="H70" s="23" t="s">
        <v>344</v>
      </c>
      <c r="I70" s="18" t="s">
        <v>345</v>
      </c>
      <c r="J70" s="17" t="s">
        <v>346</v>
      </c>
      <c r="K70" s="18" t="s">
        <v>52</v>
      </c>
      <c r="L70" s="19" t="s">
        <v>20</v>
      </c>
      <c r="M70" s="20"/>
      <c r="N70" s="19"/>
      <c r="O70" s="19"/>
      <c r="P70" s="21"/>
      <c r="Q70" s="22" t="n">
        <f aca="false">'Mode d''emploi'!$B$29</f>
        <v>27</v>
      </c>
    </row>
    <row r="71" customFormat="false" ht="46.25" hidden="false" customHeight="false" outlineLevel="0" collapsed="false">
      <c r="A71" s="23" t="n">
        <v>70</v>
      </c>
      <c r="B71" s="23" t="s">
        <v>123</v>
      </c>
      <c r="C71" s="23" t="n">
        <v>2</v>
      </c>
      <c r="D71" s="23" t="s">
        <v>71</v>
      </c>
      <c r="E71" s="24" t="s">
        <v>347</v>
      </c>
      <c r="F71" s="23" t="s">
        <v>348</v>
      </c>
      <c r="G71" s="23" t="s">
        <v>64</v>
      </c>
      <c r="H71" s="23" t="s">
        <v>349</v>
      </c>
      <c r="I71" s="18" t="s">
        <v>350</v>
      </c>
      <c r="J71" s="17" t="s">
        <v>351</v>
      </c>
      <c r="K71" s="18" t="s">
        <v>52</v>
      </c>
      <c r="L71" s="19" t="s">
        <v>20</v>
      </c>
      <c r="M71" s="20"/>
      <c r="N71" s="19"/>
      <c r="O71" s="19"/>
      <c r="P71" s="21"/>
      <c r="Q71" s="22" t="n">
        <f aca="false">'Mode d''emploi'!$B$29</f>
        <v>27</v>
      </c>
    </row>
    <row r="72" customFormat="false" ht="46.25" hidden="false" customHeight="false" outlineLevel="0" collapsed="false">
      <c r="A72" s="23" t="n">
        <v>71</v>
      </c>
      <c r="B72" s="23" t="s">
        <v>123</v>
      </c>
      <c r="C72" s="23" t="n">
        <v>2</v>
      </c>
      <c r="D72" s="23" t="s">
        <v>71</v>
      </c>
      <c r="E72" s="24" t="s">
        <v>352</v>
      </c>
      <c r="F72" s="23" t="s">
        <v>112</v>
      </c>
      <c r="G72" s="23" t="s">
        <v>64</v>
      </c>
      <c r="H72" s="23" t="s">
        <v>353</v>
      </c>
      <c r="I72" s="18" t="s">
        <v>354</v>
      </c>
      <c r="J72" s="17"/>
      <c r="K72" s="18" t="s">
        <v>52</v>
      </c>
      <c r="L72" s="19" t="s">
        <v>20</v>
      </c>
      <c r="M72" s="20"/>
      <c r="N72" s="19"/>
      <c r="O72" s="19"/>
      <c r="P72" s="21"/>
      <c r="Q72" s="22" t="n">
        <f aca="false">'Mode d''emploi'!$B$29</f>
        <v>27</v>
      </c>
    </row>
    <row r="73" customFormat="false" ht="46.25" hidden="false" customHeight="false" outlineLevel="0" collapsed="false">
      <c r="A73" s="23" t="n">
        <v>72</v>
      </c>
      <c r="B73" s="23" t="s">
        <v>123</v>
      </c>
      <c r="C73" s="23" t="n">
        <v>2</v>
      </c>
      <c r="D73" s="23" t="s">
        <v>71</v>
      </c>
      <c r="E73" s="24" t="s">
        <v>355</v>
      </c>
      <c r="F73" s="23" t="s">
        <v>356</v>
      </c>
      <c r="G73" s="23" t="s">
        <v>64</v>
      </c>
      <c r="H73" s="23" t="s">
        <v>357</v>
      </c>
      <c r="I73" s="18" t="s">
        <v>358</v>
      </c>
      <c r="J73" s="17" t="s">
        <v>359</v>
      </c>
      <c r="K73" s="18" t="s">
        <v>52</v>
      </c>
      <c r="L73" s="19" t="s">
        <v>20</v>
      </c>
      <c r="M73" s="20"/>
      <c r="N73" s="19"/>
      <c r="O73" s="19"/>
      <c r="P73" s="21"/>
      <c r="Q73" s="22" t="n">
        <f aca="false">'Mode d''emploi'!$B$29</f>
        <v>27</v>
      </c>
    </row>
    <row r="74" customFormat="false" ht="46.25" hidden="false" customHeight="false" outlineLevel="0" collapsed="false">
      <c r="A74" s="23" t="n">
        <v>73</v>
      </c>
      <c r="B74" s="23" t="s">
        <v>123</v>
      </c>
      <c r="C74" s="23" t="n">
        <v>2</v>
      </c>
      <c r="D74" s="23" t="s">
        <v>94</v>
      </c>
      <c r="E74" s="24" t="s">
        <v>360</v>
      </c>
      <c r="F74" s="23" t="s">
        <v>361</v>
      </c>
      <c r="G74" s="23" t="s">
        <v>64</v>
      </c>
      <c r="H74" s="23" t="s">
        <v>362</v>
      </c>
      <c r="I74" s="18" t="s">
        <v>363</v>
      </c>
      <c r="J74" s="17" t="s">
        <v>364</v>
      </c>
      <c r="K74" s="18" t="s">
        <v>52</v>
      </c>
      <c r="L74" s="19" t="s">
        <v>20</v>
      </c>
      <c r="M74" s="20"/>
      <c r="N74" s="19"/>
      <c r="O74" s="19"/>
      <c r="P74" s="21"/>
      <c r="Q74" s="22" t="n">
        <f aca="false">'Mode d''emploi'!$B$29</f>
        <v>27</v>
      </c>
    </row>
    <row r="75" customFormat="false" ht="46.25" hidden="false" customHeight="false" outlineLevel="0" collapsed="false">
      <c r="A75" s="23" t="n">
        <v>74</v>
      </c>
      <c r="B75" s="23" t="s">
        <v>123</v>
      </c>
      <c r="C75" s="23" t="n">
        <v>2</v>
      </c>
      <c r="D75" s="23" t="s">
        <v>94</v>
      </c>
      <c r="E75" s="24" t="s">
        <v>365</v>
      </c>
      <c r="F75" s="23" t="s">
        <v>366</v>
      </c>
      <c r="G75" s="23" t="s">
        <v>64</v>
      </c>
      <c r="H75" s="23" t="s">
        <v>367</v>
      </c>
      <c r="I75" s="18" t="s">
        <v>368</v>
      </c>
      <c r="J75" s="17" t="s">
        <v>369</v>
      </c>
      <c r="K75" s="18" t="s">
        <v>52</v>
      </c>
      <c r="L75" s="19" t="s">
        <v>20</v>
      </c>
      <c r="M75" s="20"/>
      <c r="N75" s="19"/>
      <c r="O75" s="19"/>
      <c r="P75" s="21"/>
      <c r="Q75" s="22" t="n">
        <f aca="false">'Mode d''emploi'!$B$29</f>
        <v>27</v>
      </c>
    </row>
    <row r="76" customFormat="false" ht="35.05" hidden="false" customHeight="false" outlineLevel="0" collapsed="false">
      <c r="A76" s="23" t="n">
        <v>75</v>
      </c>
      <c r="B76" s="23" t="s">
        <v>123</v>
      </c>
      <c r="C76" s="23" t="n">
        <v>2</v>
      </c>
      <c r="D76" s="23" t="s">
        <v>94</v>
      </c>
      <c r="E76" s="24" t="s">
        <v>370</v>
      </c>
      <c r="F76" s="23" t="s">
        <v>371</v>
      </c>
      <c r="G76" s="23" t="s">
        <v>64</v>
      </c>
      <c r="H76" s="23" t="s">
        <v>372</v>
      </c>
      <c r="I76" s="18" t="s">
        <v>373</v>
      </c>
      <c r="J76" s="17" t="s">
        <v>374</v>
      </c>
      <c r="K76" s="18" t="s">
        <v>52</v>
      </c>
      <c r="L76" s="19" t="s">
        <v>20</v>
      </c>
      <c r="M76" s="20"/>
      <c r="N76" s="19"/>
      <c r="O76" s="19"/>
      <c r="P76" s="21"/>
      <c r="Q76" s="22" t="n">
        <f aca="false">'Mode d''emploi'!$B$29</f>
        <v>27</v>
      </c>
    </row>
    <row r="77" customFormat="false" ht="46.25" hidden="false" customHeight="false" outlineLevel="0" collapsed="false">
      <c r="A77" s="23" t="n">
        <v>76</v>
      </c>
      <c r="B77" s="23" t="s">
        <v>123</v>
      </c>
      <c r="C77" s="23" t="n">
        <v>2</v>
      </c>
      <c r="D77" s="23" t="s">
        <v>94</v>
      </c>
      <c r="E77" s="24" t="s">
        <v>375</v>
      </c>
      <c r="F77" s="23" t="s">
        <v>376</v>
      </c>
      <c r="G77" s="23" t="s">
        <v>64</v>
      </c>
      <c r="H77" s="23" t="s">
        <v>377</v>
      </c>
      <c r="I77" s="18" t="s">
        <v>378</v>
      </c>
      <c r="J77" s="17" t="s">
        <v>379</v>
      </c>
      <c r="K77" s="18" t="s">
        <v>52</v>
      </c>
      <c r="L77" s="19" t="s">
        <v>20</v>
      </c>
      <c r="M77" s="20"/>
      <c r="N77" s="19"/>
      <c r="O77" s="19"/>
      <c r="P77" s="21"/>
      <c r="Q77" s="22" t="n">
        <f aca="false">'Mode d''emploi'!$B$29</f>
        <v>27</v>
      </c>
    </row>
    <row r="78" customFormat="false" ht="46.25" hidden="false" customHeight="false" outlineLevel="0" collapsed="false">
      <c r="A78" s="23" t="n">
        <v>77</v>
      </c>
      <c r="B78" s="23" t="s">
        <v>123</v>
      </c>
      <c r="C78" s="23" t="n">
        <v>2</v>
      </c>
      <c r="D78" s="23" t="s">
        <v>94</v>
      </c>
      <c r="E78" s="24" t="s">
        <v>380</v>
      </c>
      <c r="F78" s="23" t="s">
        <v>381</v>
      </c>
      <c r="G78" s="23" t="s">
        <v>64</v>
      </c>
      <c r="H78" s="23" t="s">
        <v>382</v>
      </c>
      <c r="I78" s="18" t="s">
        <v>383</v>
      </c>
      <c r="J78" s="17" t="s">
        <v>384</v>
      </c>
      <c r="K78" s="18" t="s">
        <v>52</v>
      </c>
      <c r="L78" s="19" t="s">
        <v>20</v>
      </c>
      <c r="M78" s="20"/>
      <c r="N78" s="19"/>
      <c r="O78" s="19"/>
      <c r="P78" s="21"/>
      <c r="Q78" s="22" t="n">
        <f aca="false">'Mode d''emploi'!$B$29</f>
        <v>27</v>
      </c>
    </row>
    <row r="79" customFormat="false" ht="46.25" hidden="false" customHeight="false" outlineLevel="0" collapsed="false">
      <c r="A79" s="23" t="n">
        <v>78</v>
      </c>
      <c r="B79" s="23" t="s">
        <v>123</v>
      </c>
      <c r="C79" s="23" t="n">
        <v>2</v>
      </c>
      <c r="D79" s="23" t="s">
        <v>94</v>
      </c>
      <c r="E79" s="24" t="s">
        <v>385</v>
      </c>
      <c r="F79" s="23" t="s">
        <v>386</v>
      </c>
      <c r="G79" s="23" t="s">
        <v>64</v>
      </c>
      <c r="H79" s="23" t="s">
        <v>387</v>
      </c>
      <c r="I79" s="18" t="s">
        <v>388</v>
      </c>
      <c r="J79" s="17" t="s">
        <v>389</v>
      </c>
      <c r="K79" s="18" t="s">
        <v>52</v>
      </c>
      <c r="L79" s="19" t="s">
        <v>20</v>
      </c>
      <c r="M79" s="20"/>
      <c r="N79" s="19"/>
      <c r="O79" s="19"/>
      <c r="P79" s="21"/>
      <c r="Q79" s="22" t="n">
        <f aca="false">'Mode d''emploi'!$B$29</f>
        <v>27</v>
      </c>
    </row>
    <row r="80" customFormat="false" ht="57.45" hidden="false" customHeight="false" outlineLevel="0" collapsed="false">
      <c r="A80" s="23" t="n">
        <v>79</v>
      </c>
      <c r="B80" s="23" t="s">
        <v>123</v>
      </c>
      <c r="C80" s="23" t="n">
        <v>2</v>
      </c>
      <c r="D80" s="23" t="s">
        <v>94</v>
      </c>
      <c r="E80" s="24" t="s">
        <v>390</v>
      </c>
      <c r="F80" s="23" t="s">
        <v>391</v>
      </c>
      <c r="G80" s="23" t="s">
        <v>64</v>
      </c>
      <c r="H80" s="23" t="s">
        <v>392</v>
      </c>
      <c r="I80" s="18" t="s">
        <v>393</v>
      </c>
      <c r="J80" s="17" t="s">
        <v>394</v>
      </c>
      <c r="K80" s="18" t="s">
        <v>52</v>
      </c>
      <c r="L80" s="19" t="s">
        <v>20</v>
      </c>
      <c r="M80" s="20"/>
      <c r="N80" s="19"/>
      <c r="O80" s="19"/>
      <c r="P80" s="21"/>
      <c r="Q80" s="22" t="n">
        <f aca="false">'Mode d''emploi'!$B$29</f>
        <v>27</v>
      </c>
    </row>
    <row r="81" customFormat="false" ht="35.05" hidden="false" customHeight="false" outlineLevel="0" collapsed="false">
      <c r="A81" s="23" t="n">
        <v>80</v>
      </c>
      <c r="B81" s="23" t="s">
        <v>123</v>
      </c>
      <c r="C81" s="23" t="n">
        <v>2</v>
      </c>
      <c r="D81" s="23" t="s">
        <v>75</v>
      </c>
      <c r="E81" s="24" t="s">
        <v>395</v>
      </c>
      <c r="F81" s="23" t="s">
        <v>396</v>
      </c>
      <c r="G81" s="23" t="s">
        <v>64</v>
      </c>
      <c r="H81" s="23" t="s">
        <v>397</v>
      </c>
      <c r="I81" s="18" t="s">
        <v>398</v>
      </c>
      <c r="J81" s="17" t="s">
        <v>399</v>
      </c>
      <c r="K81" s="18" t="s">
        <v>52</v>
      </c>
      <c r="L81" s="19" t="s">
        <v>20</v>
      </c>
      <c r="M81" s="20"/>
      <c r="N81" s="19"/>
      <c r="O81" s="19"/>
      <c r="P81" s="21"/>
      <c r="Q81" s="22" t="n">
        <f aca="false">'Mode d''emploi'!$B$29</f>
        <v>27</v>
      </c>
    </row>
    <row r="82" customFormat="false" ht="46.25" hidden="false" customHeight="false" outlineLevel="0" collapsed="false">
      <c r="A82" s="23" t="n">
        <v>81</v>
      </c>
      <c r="B82" s="23" t="s">
        <v>123</v>
      </c>
      <c r="C82" s="23" t="n">
        <v>2</v>
      </c>
      <c r="D82" s="23" t="s">
        <v>75</v>
      </c>
      <c r="E82" s="24" t="s">
        <v>400</v>
      </c>
      <c r="F82" s="23" t="s">
        <v>401</v>
      </c>
      <c r="G82" s="23" t="s">
        <v>64</v>
      </c>
      <c r="H82" s="23" t="s">
        <v>402</v>
      </c>
      <c r="I82" s="18" t="s">
        <v>403</v>
      </c>
      <c r="J82" s="17"/>
      <c r="K82" s="18" t="s">
        <v>52</v>
      </c>
      <c r="L82" s="19" t="s">
        <v>20</v>
      </c>
      <c r="M82" s="20"/>
      <c r="N82" s="19"/>
      <c r="O82" s="19"/>
      <c r="P82" s="21"/>
      <c r="Q82" s="22" t="n">
        <f aca="false">'Mode d''emploi'!$B$29</f>
        <v>27</v>
      </c>
    </row>
    <row r="83" customFormat="false" ht="35.05" hidden="false" customHeight="false" outlineLevel="0" collapsed="false">
      <c r="A83" s="23" t="n">
        <v>82</v>
      </c>
      <c r="B83" s="23" t="s">
        <v>123</v>
      </c>
      <c r="C83" s="23" t="n">
        <v>2</v>
      </c>
      <c r="D83" s="23" t="s">
        <v>404</v>
      </c>
      <c r="E83" s="24" t="s">
        <v>405</v>
      </c>
      <c r="F83" s="23" t="s">
        <v>406</v>
      </c>
      <c r="G83" s="23" t="s">
        <v>64</v>
      </c>
      <c r="H83" s="23" t="s">
        <v>407</v>
      </c>
      <c r="I83" s="18" t="s">
        <v>408</v>
      </c>
      <c r="J83" s="17" t="s">
        <v>409</v>
      </c>
      <c r="K83" s="18" t="s">
        <v>52</v>
      </c>
      <c r="L83" s="19" t="s">
        <v>20</v>
      </c>
      <c r="M83" s="20"/>
      <c r="N83" s="19"/>
      <c r="O83" s="19"/>
      <c r="P83" s="21"/>
      <c r="Q83" s="22" t="n">
        <f aca="false">'Mode d''emploi'!$B$29</f>
        <v>27</v>
      </c>
    </row>
    <row r="84" customFormat="false" ht="46.25" hidden="false" customHeight="false" outlineLevel="0" collapsed="false">
      <c r="A84" s="23" t="n">
        <v>83</v>
      </c>
      <c r="B84" s="23" t="s">
        <v>123</v>
      </c>
      <c r="C84" s="23" t="n">
        <v>2</v>
      </c>
      <c r="D84" s="23" t="s">
        <v>324</v>
      </c>
      <c r="E84" s="24" t="s">
        <v>410</v>
      </c>
      <c r="F84" s="23" t="s">
        <v>411</v>
      </c>
      <c r="G84" s="23" t="s">
        <v>64</v>
      </c>
      <c r="H84" s="23" t="s">
        <v>412</v>
      </c>
      <c r="I84" s="18" t="s">
        <v>413</v>
      </c>
      <c r="J84" s="17" t="s">
        <v>414</v>
      </c>
      <c r="K84" s="18" t="s">
        <v>52</v>
      </c>
      <c r="L84" s="19" t="s">
        <v>20</v>
      </c>
      <c r="M84" s="20"/>
      <c r="N84" s="19"/>
      <c r="O84" s="19"/>
      <c r="P84" s="21"/>
      <c r="Q84" s="22" t="n">
        <f aca="false">'Mode d''emploi'!$B$29</f>
        <v>27</v>
      </c>
    </row>
    <row r="85" customFormat="false" ht="46.25" hidden="false" customHeight="false" outlineLevel="0" collapsed="false">
      <c r="A85" s="23" t="n">
        <v>84</v>
      </c>
      <c r="B85" s="23" t="s">
        <v>123</v>
      </c>
      <c r="C85" s="23" t="n">
        <v>2</v>
      </c>
      <c r="D85" s="23" t="s">
        <v>415</v>
      </c>
      <c r="E85" s="24" t="s">
        <v>416</v>
      </c>
      <c r="F85" s="23" t="s">
        <v>417</v>
      </c>
      <c r="G85" s="23" t="s">
        <v>64</v>
      </c>
      <c r="H85" s="23" t="s">
        <v>418</v>
      </c>
      <c r="I85" s="18" t="s">
        <v>419</v>
      </c>
      <c r="J85" s="17" t="s">
        <v>420</v>
      </c>
      <c r="K85" s="18" t="s">
        <v>52</v>
      </c>
      <c r="L85" s="19" t="s">
        <v>20</v>
      </c>
      <c r="M85" s="20"/>
      <c r="N85" s="19"/>
      <c r="O85" s="19"/>
      <c r="P85" s="21"/>
      <c r="Q85" s="22" t="n">
        <f aca="false">'Mode d''emploi'!$B$29</f>
        <v>27</v>
      </c>
    </row>
    <row r="86" customFormat="false" ht="35.05" hidden="false" customHeight="false" outlineLevel="0" collapsed="false">
      <c r="A86" s="17" t="n">
        <v>85</v>
      </c>
      <c r="B86" s="17" t="s">
        <v>123</v>
      </c>
      <c r="C86" s="17" t="n">
        <v>3</v>
      </c>
      <c r="D86" s="17" t="s">
        <v>134</v>
      </c>
      <c r="E86" s="25" t="s">
        <v>421</v>
      </c>
      <c r="F86" s="17" t="s">
        <v>422</v>
      </c>
      <c r="G86" s="17" t="s">
        <v>50</v>
      </c>
      <c r="H86" s="17" t="s">
        <v>423</v>
      </c>
      <c r="I86" s="17"/>
      <c r="J86" s="17" t="s">
        <v>424</v>
      </c>
      <c r="K86" s="18" t="s">
        <v>52</v>
      </c>
      <c r="L86" s="19" t="s">
        <v>20</v>
      </c>
      <c r="M86" s="20"/>
      <c r="N86" s="19"/>
      <c r="O86" s="19"/>
      <c r="P86" s="21"/>
      <c r="Q86" s="22" t="n">
        <f aca="false">'Mode d''emploi'!$B$29</f>
        <v>27</v>
      </c>
    </row>
    <row r="87" customFormat="false" ht="35.05" hidden="false" customHeight="false" outlineLevel="0" collapsed="false">
      <c r="A87" s="17" t="n">
        <v>86</v>
      </c>
      <c r="B87" s="17" t="s">
        <v>123</v>
      </c>
      <c r="C87" s="17" t="n">
        <v>3</v>
      </c>
      <c r="D87" s="17" t="s">
        <v>71</v>
      </c>
      <c r="E87" s="25" t="s">
        <v>425</v>
      </c>
      <c r="F87" s="17" t="s">
        <v>426</v>
      </c>
      <c r="G87" s="17" t="s">
        <v>50</v>
      </c>
      <c r="H87" s="17" t="s">
        <v>427</v>
      </c>
      <c r="I87" s="18" t="s">
        <v>428</v>
      </c>
      <c r="J87" s="17" t="s">
        <v>429</v>
      </c>
      <c r="K87" s="18" t="s">
        <v>52</v>
      </c>
      <c r="L87" s="19" t="s">
        <v>20</v>
      </c>
      <c r="M87" s="20"/>
      <c r="N87" s="19"/>
      <c r="O87" s="19"/>
      <c r="P87" s="21"/>
      <c r="Q87" s="22" t="n">
        <f aca="false">'Mode d''emploi'!$B$29</f>
        <v>27</v>
      </c>
    </row>
    <row r="88" customFormat="false" ht="46.25" hidden="false" customHeight="false" outlineLevel="0" collapsed="false">
      <c r="A88" s="17" t="n">
        <v>87</v>
      </c>
      <c r="B88" s="17" t="s">
        <v>123</v>
      </c>
      <c r="C88" s="17" t="n">
        <v>3</v>
      </c>
      <c r="D88" s="17" t="s">
        <v>94</v>
      </c>
      <c r="E88" s="25" t="s">
        <v>430</v>
      </c>
      <c r="F88" s="17" t="s">
        <v>431</v>
      </c>
      <c r="G88" s="17" t="s">
        <v>50</v>
      </c>
      <c r="H88" s="17" t="s">
        <v>432</v>
      </c>
      <c r="I88" s="18" t="s">
        <v>433</v>
      </c>
      <c r="J88" s="17" t="s">
        <v>434</v>
      </c>
      <c r="K88" s="18" t="s">
        <v>52</v>
      </c>
      <c r="L88" s="19" t="s">
        <v>20</v>
      </c>
      <c r="M88" s="20"/>
      <c r="N88" s="19"/>
      <c r="O88" s="19"/>
      <c r="P88" s="21"/>
      <c r="Q88" s="22" t="n">
        <f aca="false">'Mode d''emploi'!$B$29</f>
        <v>27</v>
      </c>
    </row>
    <row r="89" customFormat="false" ht="46.25" hidden="false" customHeight="false" outlineLevel="0" collapsed="false">
      <c r="A89" s="17" t="n">
        <v>88</v>
      </c>
      <c r="B89" s="17" t="s">
        <v>123</v>
      </c>
      <c r="C89" s="17" t="n">
        <v>3</v>
      </c>
      <c r="D89" s="17" t="s">
        <v>94</v>
      </c>
      <c r="E89" s="25" t="s">
        <v>435</v>
      </c>
      <c r="F89" s="17" t="s">
        <v>436</v>
      </c>
      <c r="G89" s="17" t="s">
        <v>50</v>
      </c>
      <c r="H89" s="17" t="s">
        <v>437</v>
      </c>
      <c r="I89" s="18" t="s">
        <v>438</v>
      </c>
      <c r="J89" s="17" t="s">
        <v>439</v>
      </c>
      <c r="K89" s="18" t="s">
        <v>52</v>
      </c>
      <c r="L89" s="19" t="s">
        <v>20</v>
      </c>
      <c r="M89" s="20"/>
      <c r="N89" s="19"/>
      <c r="O89" s="19"/>
      <c r="P89" s="21"/>
      <c r="Q89" s="22" t="n">
        <f aca="false">'Mode d''emploi'!$B$29</f>
        <v>27</v>
      </c>
    </row>
    <row r="90" customFormat="false" ht="35.05" hidden="false" customHeight="false" outlineLevel="0" collapsed="false">
      <c r="A90" s="17" t="n">
        <v>89</v>
      </c>
      <c r="B90" s="17" t="s">
        <v>123</v>
      </c>
      <c r="C90" s="17" t="n">
        <v>3</v>
      </c>
      <c r="D90" s="17" t="s">
        <v>75</v>
      </c>
      <c r="E90" s="25" t="s">
        <v>440</v>
      </c>
      <c r="F90" s="17" t="s">
        <v>77</v>
      </c>
      <c r="G90" s="17" t="s">
        <v>50</v>
      </c>
      <c r="H90" s="17" t="s">
        <v>441</v>
      </c>
      <c r="I90" s="17"/>
      <c r="J90" s="17"/>
      <c r="K90" s="18" t="s">
        <v>52</v>
      </c>
      <c r="L90" s="19" t="s">
        <v>20</v>
      </c>
      <c r="M90" s="20"/>
      <c r="N90" s="19"/>
      <c r="O90" s="19"/>
      <c r="P90" s="21"/>
      <c r="Q90" s="22" t="n">
        <f aca="false">'Mode d''emploi'!$B$29</f>
        <v>27</v>
      </c>
    </row>
    <row r="91" customFormat="false" ht="35.05" hidden="false" customHeight="false" outlineLevel="0" collapsed="false">
      <c r="A91" s="17" t="n">
        <v>90</v>
      </c>
      <c r="B91" s="17" t="s">
        <v>123</v>
      </c>
      <c r="C91" s="17" t="n">
        <v>3</v>
      </c>
      <c r="D91" s="17" t="s">
        <v>75</v>
      </c>
      <c r="E91" s="25" t="s">
        <v>442</v>
      </c>
      <c r="F91" s="17" t="s">
        <v>443</v>
      </c>
      <c r="G91" s="17" t="s">
        <v>50</v>
      </c>
      <c r="H91" s="17" t="s">
        <v>444</v>
      </c>
      <c r="I91" s="18" t="s">
        <v>445</v>
      </c>
      <c r="J91" s="17" t="s">
        <v>446</v>
      </c>
      <c r="K91" s="18" t="s">
        <v>52</v>
      </c>
      <c r="L91" s="19" t="s">
        <v>20</v>
      </c>
      <c r="M91" s="20"/>
      <c r="N91" s="19"/>
      <c r="O91" s="19"/>
      <c r="P91" s="21"/>
      <c r="Q91" s="22" t="n">
        <f aca="false">'Mode d''emploi'!$B$29</f>
        <v>27</v>
      </c>
    </row>
    <row r="92" customFormat="false" ht="35.05" hidden="false" customHeight="false" outlineLevel="0" collapsed="false">
      <c r="A92" s="17" t="n">
        <v>91</v>
      </c>
      <c r="B92" s="17" t="s">
        <v>123</v>
      </c>
      <c r="C92" s="17" t="n">
        <v>3</v>
      </c>
      <c r="D92" s="17" t="s">
        <v>75</v>
      </c>
      <c r="E92" s="25" t="s">
        <v>447</v>
      </c>
      <c r="F92" s="17" t="s">
        <v>448</v>
      </c>
      <c r="G92" s="17" t="s">
        <v>50</v>
      </c>
      <c r="H92" s="17" t="s">
        <v>449</v>
      </c>
      <c r="I92" s="18" t="s">
        <v>450</v>
      </c>
      <c r="J92" s="17" t="s">
        <v>451</v>
      </c>
      <c r="K92" s="18" t="s">
        <v>52</v>
      </c>
      <c r="L92" s="19" t="s">
        <v>20</v>
      </c>
      <c r="M92" s="20"/>
      <c r="N92" s="19"/>
      <c r="O92" s="19"/>
      <c r="P92" s="21"/>
      <c r="Q92" s="22" t="n">
        <f aca="false">'Mode d''emploi'!$B$29</f>
        <v>27</v>
      </c>
    </row>
    <row r="93" customFormat="false" ht="35.05" hidden="false" customHeight="false" outlineLevel="0" collapsed="false">
      <c r="A93" s="17" t="n">
        <v>92</v>
      </c>
      <c r="B93" s="17" t="s">
        <v>123</v>
      </c>
      <c r="C93" s="17" t="n">
        <v>3</v>
      </c>
      <c r="D93" s="17" t="s">
        <v>75</v>
      </c>
      <c r="E93" s="25" t="s">
        <v>452</v>
      </c>
      <c r="F93" s="17" t="s">
        <v>436</v>
      </c>
      <c r="G93" s="17" t="s">
        <v>50</v>
      </c>
      <c r="H93" s="17" t="s">
        <v>453</v>
      </c>
      <c r="I93" s="17"/>
      <c r="J93" s="17"/>
      <c r="K93" s="18" t="s">
        <v>52</v>
      </c>
      <c r="L93" s="19" t="s">
        <v>20</v>
      </c>
      <c r="M93" s="20"/>
      <c r="N93" s="19"/>
      <c r="O93" s="19"/>
      <c r="P93" s="21"/>
      <c r="Q93" s="22" t="n">
        <f aca="false">'Mode d''emploi'!$B$29</f>
        <v>27</v>
      </c>
    </row>
    <row r="94" customFormat="false" ht="46.25" hidden="false" customHeight="false" outlineLevel="0" collapsed="false">
      <c r="A94" s="17" t="n">
        <v>93</v>
      </c>
      <c r="B94" s="17" t="s">
        <v>123</v>
      </c>
      <c r="C94" s="17" t="n">
        <v>3</v>
      </c>
      <c r="D94" s="17" t="s">
        <v>75</v>
      </c>
      <c r="E94" s="25" t="s">
        <v>454</v>
      </c>
      <c r="F94" s="17" t="s">
        <v>455</v>
      </c>
      <c r="G94" s="17" t="s">
        <v>50</v>
      </c>
      <c r="H94" s="17" t="s">
        <v>456</v>
      </c>
      <c r="I94" s="18" t="s">
        <v>457</v>
      </c>
      <c r="J94" s="17" t="s">
        <v>458</v>
      </c>
      <c r="K94" s="18" t="s">
        <v>52</v>
      </c>
      <c r="L94" s="19" t="s">
        <v>20</v>
      </c>
      <c r="M94" s="20"/>
      <c r="N94" s="19"/>
      <c r="O94" s="19"/>
      <c r="P94" s="21"/>
      <c r="Q94" s="22" t="n">
        <f aca="false">'Mode d''emploi'!$B$29</f>
        <v>27</v>
      </c>
    </row>
    <row r="95" customFormat="false" ht="35.05" hidden="false" customHeight="false" outlineLevel="0" collapsed="false">
      <c r="A95" s="17" t="n">
        <v>94</v>
      </c>
      <c r="B95" s="17" t="s">
        <v>123</v>
      </c>
      <c r="C95" s="17" t="n">
        <v>3</v>
      </c>
      <c r="D95" s="17" t="s">
        <v>75</v>
      </c>
      <c r="E95" s="25" t="s">
        <v>459</v>
      </c>
      <c r="F95" s="17" t="s">
        <v>436</v>
      </c>
      <c r="G95" s="17" t="s">
        <v>50</v>
      </c>
      <c r="H95" s="17" t="s">
        <v>460</v>
      </c>
      <c r="I95" s="17"/>
      <c r="J95" s="17"/>
      <c r="K95" s="18" t="s">
        <v>52</v>
      </c>
      <c r="L95" s="19" t="s">
        <v>20</v>
      </c>
      <c r="M95" s="20"/>
      <c r="N95" s="19"/>
      <c r="O95" s="19"/>
      <c r="P95" s="21"/>
      <c r="Q95" s="22" t="n">
        <f aca="false">'Mode d''emploi'!$B$29</f>
        <v>27</v>
      </c>
    </row>
    <row r="96" customFormat="false" ht="35.05" hidden="false" customHeight="false" outlineLevel="0" collapsed="false">
      <c r="A96" s="17" t="n">
        <v>95</v>
      </c>
      <c r="B96" s="17" t="s">
        <v>123</v>
      </c>
      <c r="C96" s="17" t="n">
        <v>3</v>
      </c>
      <c r="D96" s="17" t="s">
        <v>75</v>
      </c>
      <c r="E96" s="25" t="s">
        <v>461</v>
      </c>
      <c r="F96" s="17" t="s">
        <v>462</v>
      </c>
      <c r="G96" s="17" t="s">
        <v>50</v>
      </c>
      <c r="H96" s="17" t="s">
        <v>463</v>
      </c>
      <c r="I96" s="18" t="s">
        <v>464</v>
      </c>
      <c r="J96" s="17" t="s">
        <v>465</v>
      </c>
      <c r="K96" s="18" t="s">
        <v>52</v>
      </c>
      <c r="L96" s="19" t="s">
        <v>20</v>
      </c>
      <c r="M96" s="20"/>
      <c r="N96" s="19"/>
      <c r="O96" s="19"/>
      <c r="P96" s="21"/>
      <c r="Q96" s="22" t="n">
        <f aca="false">'Mode d''emploi'!$B$29</f>
        <v>27</v>
      </c>
    </row>
    <row r="97" customFormat="false" ht="46.25" hidden="false" customHeight="false" outlineLevel="0" collapsed="false">
      <c r="A97" s="17" t="n">
        <v>96</v>
      </c>
      <c r="B97" s="17" t="s">
        <v>123</v>
      </c>
      <c r="C97" s="17" t="n">
        <v>3</v>
      </c>
      <c r="D97" s="17" t="s">
        <v>67</v>
      </c>
      <c r="E97" s="25" t="s">
        <v>466</v>
      </c>
      <c r="F97" s="17" t="s">
        <v>467</v>
      </c>
      <c r="G97" s="17" t="s">
        <v>50</v>
      </c>
      <c r="H97" s="17" t="s">
        <v>468</v>
      </c>
      <c r="I97" s="17"/>
      <c r="J97" s="17"/>
      <c r="K97" s="18" t="s">
        <v>52</v>
      </c>
      <c r="L97" s="19" t="s">
        <v>20</v>
      </c>
      <c r="M97" s="20"/>
      <c r="N97" s="19"/>
      <c r="O97" s="19"/>
      <c r="P97" s="21"/>
      <c r="Q97" s="22" t="n">
        <f aca="false">'Mode d''emploi'!$B$29</f>
        <v>27</v>
      </c>
    </row>
    <row r="98" customFormat="false" ht="35.05" hidden="false" customHeight="false" outlineLevel="0" collapsed="false">
      <c r="A98" s="17" t="n">
        <v>97</v>
      </c>
      <c r="B98" s="17" t="s">
        <v>123</v>
      </c>
      <c r="C98" s="17" t="n">
        <v>3</v>
      </c>
      <c r="D98" s="17" t="s">
        <v>308</v>
      </c>
      <c r="E98" s="25" t="s">
        <v>469</v>
      </c>
      <c r="F98" s="17" t="s">
        <v>470</v>
      </c>
      <c r="G98" s="17" t="s">
        <v>50</v>
      </c>
      <c r="H98" s="17" t="s">
        <v>471</v>
      </c>
      <c r="I98" s="18" t="s">
        <v>472</v>
      </c>
      <c r="J98" s="17" t="s">
        <v>473</v>
      </c>
      <c r="K98" s="18" t="s">
        <v>52</v>
      </c>
      <c r="L98" s="19" t="s">
        <v>20</v>
      </c>
      <c r="M98" s="20"/>
      <c r="N98" s="19"/>
      <c r="O98" s="19"/>
      <c r="P98" s="21"/>
      <c r="Q98" s="22" t="n">
        <f aca="false">'Mode d''emploi'!$B$29</f>
        <v>27</v>
      </c>
    </row>
    <row r="99" customFormat="false" ht="35.05" hidden="false" customHeight="false" outlineLevel="0" collapsed="false">
      <c r="A99" s="17" t="n">
        <v>98</v>
      </c>
      <c r="B99" s="17" t="s">
        <v>123</v>
      </c>
      <c r="C99" s="17" t="n">
        <v>3</v>
      </c>
      <c r="D99" s="17" t="s">
        <v>308</v>
      </c>
      <c r="E99" s="25" t="s">
        <v>474</v>
      </c>
      <c r="F99" s="17" t="s">
        <v>125</v>
      </c>
      <c r="G99" s="17" t="s">
        <v>50</v>
      </c>
      <c r="H99" s="17" t="s">
        <v>475</v>
      </c>
      <c r="I99" s="18" t="s">
        <v>476</v>
      </c>
      <c r="J99" s="17" t="s">
        <v>477</v>
      </c>
      <c r="K99" s="18" t="s">
        <v>52</v>
      </c>
      <c r="L99" s="19" t="s">
        <v>20</v>
      </c>
      <c r="M99" s="20"/>
      <c r="N99" s="19"/>
      <c r="O99" s="19"/>
      <c r="P99" s="21"/>
      <c r="Q99" s="22" t="n">
        <f aca="false">'Mode d''emploi'!$B$29</f>
        <v>27</v>
      </c>
    </row>
    <row r="100" customFormat="false" ht="35.05" hidden="false" customHeight="false" outlineLevel="0" collapsed="false">
      <c r="A100" s="17" t="n">
        <v>99</v>
      </c>
      <c r="B100" s="17" t="s">
        <v>123</v>
      </c>
      <c r="C100" s="17" t="n">
        <v>3</v>
      </c>
      <c r="D100" s="17" t="s">
        <v>404</v>
      </c>
      <c r="E100" s="25" t="s">
        <v>478</v>
      </c>
      <c r="F100" s="17" t="s">
        <v>292</v>
      </c>
      <c r="G100" s="17" t="s">
        <v>50</v>
      </c>
      <c r="H100" s="17" t="s">
        <v>479</v>
      </c>
      <c r="I100" s="18" t="s">
        <v>480</v>
      </c>
      <c r="J100" s="17" t="s">
        <v>481</v>
      </c>
      <c r="K100" s="18" t="s">
        <v>52</v>
      </c>
      <c r="L100" s="19" t="s">
        <v>20</v>
      </c>
      <c r="M100" s="20"/>
      <c r="N100" s="19"/>
      <c r="O100" s="19"/>
      <c r="P100" s="21"/>
      <c r="Q100" s="22" t="n">
        <f aca="false">'Mode d''emploi'!$B$29</f>
        <v>27</v>
      </c>
    </row>
    <row r="101" customFormat="false" ht="35.05" hidden="false" customHeight="false" outlineLevel="0" collapsed="false">
      <c r="A101" s="17" t="n">
        <v>100</v>
      </c>
      <c r="B101" s="17" t="s">
        <v>123</v>
      </c>
      <c r="C101" s="17" t="n">
        <v>3</v>
      </c>
      <c r="D101" s="17" t="s">
        <v>404</v>
      </c>
      <c r="E101" s="25" t="s">
        <v>482</v>
      </c>
      <c r="F101" s="17" t="s">
        <v>315</v>
      </c>
      <c r="G101" s="17" t="s">
        <v>50</v>
      </c>
      <c r="H101" s="17" t="s">
        <v>483</v>
      </c>
      <c r="I101" s="17"/>
      <c r="J101" s="17"/>
      <c r="K101" s="18" t="s">
        <v>52</v>
      </c>
      <c r="L101" s="19" t="s">
        <v>20</v>
      </c>
      <c r="M101" s="20"/>
      <c r="N101" s="19"/>
      <c r="O101" s="19"/>
      <c r="P101" s="21"/>
      <c r="Q101" s="22" t="n">
        <f aca="false">'Mode d''emploi'!$B$29</f>
        <v>27</v>
      </c>
    </row>
    <row r="102" customFormat="false" ht="35.05" hidden="false" customHeight="false" outlineLevel="0" collapsed="false">
      <c r="A102" s="17" t="n">
        <v>101</v>
      </c>
      <c r="B102" s="17" t="s">
        <v>123</v>
      </c>
      <c r="C102" s="17" t="n">
        <v>3</v>
      </c>
      <c r="D102" s="17" t="s">
        <v>404</v>
      </c>
      <c r="E102" s="25" t="s">
        <v>484</v>
      </c>
      <c r="F102" s="17" t="s">
        <v>315</v>
      </c>
      <c r="G102" s="17" t="s">
        <v>50</v>
      </c>
      <c r="H102" s="17" t="s">
        <v>485</v>
      </c>
      <c r="I102" s="18" t="s">
        <v>486</v>
      </c>
      <c r="J102" s="17"/>
      <c r="K102" s="18" t="s">
        <v>52</v>
      </c>
      <c r="L102" s="19" t="s">
        <v>20</v>
      </c>
      <c r="M102" s="20"/>
      <c r="N102" s="19"/>
      <c r="O102" s="19"/>
      <c r="P102" s="21"/>
      <c r="Q102" s="22" t="n">
        <f aca="false">'Mode d''emploi'!$B$29</f>
        <v>27</v>
      </c>
    </row>
    <row r="103" customFormat="false" ht="46.25" hidden="false" customHeight="false" outlineLevel="0" collapsed="false">
      <c r="A103" s="17" t="n">
        <v>102</v>
      </c>
      <c r="B103" s="17" t="s">
        <v>123</v>
      </c>
      <c r="C103" s="17" t="n">
        <v>3</v>
      </c>
      <c r="D103" s="17" t="s">
        <v>94</v>
      </c>
      <c r="E103" s="25" t="s">
        <v>487</v>
      </c>
      <c r="F103" s="17" t="s">
        <v>488</v>
      </c>
      <c r="G103" s="17" t="s">
        <v>64</v>
      </c>
      <c r="H103" s="17" t="s">
        <v>489</v>
      </c>
      <c r="I103" s="17"/>
      <c r="J103" s="17" t="s">
        <v>490</v>
      </c>
      <c r="K103" s="18" t="s">
        <v>52</v>
      </c>
      <c r="L103" s="19" t="s">
        <v>20</v>
      </c>
      <c r="M103" s="20"/>
      <c r="N103" s="19"/>
      <c r="O103" s="19"/>
      <c r="P103" s="21"/>
      <c r="Q103" s="22" t="n">
        <f aca="false">'Mode d''emploi'!$B$29</f>
        <v>27</v>
      </c>
    </row>
    <row r="104" customFormat="false" ht="46.25" hidden="false" customHeight="false" outlineLevel="0" collapsed="false">
      <c r="A104" s="17" t="n">
        <v>103</v>
      </c>
      <c r="B104" s="17" t="s">
        <v>123</v>
      </c>
      <c r="C104" s="17" t="n">
        <v>3</v>
      </c>
      <c r="D104" s="17" t="s">
        <v>94</v>
      </c>
      <c r="E104" s="25" t="s">
        <v>491</v>
      </c>
      <c r="F104" s="17" t="s">
        <v>381</v>
      </c>
      <c r="G104" s="17" t="s">
        <v>64</v>
      </c>
      <c r="H104" s="17" t="s">
        <v>492</v>
      </c>
      <c r="I104" s="18" t="s">
        <v>493</v>
      </c>
      <c r="J104" s="17" t="s">
        <v>494</v>
      </c>
      <c r="K104" s="18" t="s">
        <v>52</v>
      </c>
      <c r="L104" s="19" t="s">
        <v>20</v>
      </c>
      <c r="M104" s="20"/>
      <c r="N104" s="19"/>
      <c r="O104" s="19"/>
      <c r="P104" s="21"/>
      <c r="Q104" s="22" t="n">
        <f aca="false">'Mode d''emploi'!$B$29</f>
        <v>27</v>
      </c>
    </row>
    <row r="105" customFormat="false" ht="35.05" hidden="false" customHeight="false" outlineLevel="0" collapsed="false">
      <c r="A105" s="17" t="n">
        <v>104</v>
      </c>
      <c r="B105" s="17" t="s">
        <v>123</v>
      </c>
      <c r="C105" s="17" t="n">
        <v>3</v>
      </c>
      <c r="D105" s="17" t="s">
        <v>75</v>
      </c>
      <c r="E105" s="25" t="s">
        <v>495</v>
      </c>
      <c r="F105" s="17" t="s">
        <v>496</v>
      </c>
      <c r="G105" s="17" t="s">
        <v>64</v>
      </c>
      <c r="H105" s="17" t="s">
        <v>497</v>
      </c>
      <c r="I105" s="17"/>
      <c r="J105" s="17"/>
      <c r="K105" s="18" t="s">
        <v>52</v>
      </c>
      <c r="L105" s="19" t="s">
        <v>20</v>
      </c>
      <c r="M105" s="20"/>
      <c r="N105" s="19"/>
      <c r="O105" s="19"/>
      <c r="P105" s="21"/>
      <c r="Q105" s="22" t="n">
        <f aca="false">'Mode d''emploi'!$B$29</f>
        <v>27</v>
      </c>
    </row>
    <row r="106" customFormat="false" ht="35.05" hidden="false" customHeight="false" outlineLevel="0" collapsed="false">
      <c r="A106" s="17" t="n">
        <v>105</v>
      </c>
      <c r="B106" s="17" t="s">
        <v>123</v>
      </c>
      <c r="C106" s="17" t="n">
        <v>3</v>
      </c>
      <c r="D106" s="17" t="s">
        <v>67</v>
      </c>
      <c r="E106" s="25" t="s">
        <v>498</v>
      </c>
      <c r="F106" s="17" t="s">
        <v>499</v>
      </c>
      <c r="G106" s="17" t="s">
        <v>64</v>
      </c>
      <c r="H106" s="17" t="s">
        <v>500</v>
      </c>
      <c r="I106" s="17"/>
      <c r="J106" s="17"/>
      <c r="K106" s="18" t="s">
        <v>52</v>
      </c>
      <c r="L106" s="19" t="s">
        <v>20</v>
      </c>
      <c r="M106" s="20"/>
      <c r="N106" s="19"/>
      <c r="O106" s="19"/>
      <c r="P106" s="21"/>
      <c r="Q106" s="22" t="n">
        <f aca="false">'Mode d''emploi'!$B$29</f>
        <v>27</v>
      </c>
    </row>
    <row r="107" customFormat="false" ht="35.05" hidden="false" customHeight="false" outlineLevel="0" collapsed="false">
      <c r="A107" s="17" t="n">
        <v>106</v>
      </c>
      <c r="B107" s="17" t="s">
        <v>123</v>
      </c>
      <c r="C107" s="17" t="n">
        <v>3</v>
      </c>
      <c r="D107" s="17" t="s">
        <v>404</v>
      </c>
      <c r="E107" s="25" t="s">
        <v>501</v>
      </c>
      <c r="F107" s="17" t="s">
        <v>502</v>
      </c>
      <c r="G107" s="17" t="s">
        <v>64</v>
      </c>
      <c r="H107" s="17" t="s">
        <v>503</v>
      </c>
      <c r="I107" s="18" t="s">
        <v>504</v>
      </c>
      <c r="J107" s="17" t="s">
        <v>505</v>
      </c>
      <c r="K107" s="18" t="s">
        <v>52</v>
      </c>
      <c r="L107" s="19" t="s">
        <v>20</v>
      </c>
      <c r="M107" s="20"/>
      <c r="N107" s="19"/>
      <c r="O107" s="19"/>
      <c r="P107" s="21"/>
      <c r="Q107" s="22" t="n">
        <f aca="false">'Mode d''emploi'!$B$29</f>
        <v>27</v>
      </c>
    </row>
    <row r="108" customFormat="false" ht="35.05" hidden="false" customHeight="false" outlineLevel="0" collapsed="false">
      <c r="A108" s="17" t="n">
        <v>107</v>
      </c>
      <c r="B108" s="17" t="s">
        <v>123</v>
      </c>
      <c r="C108" s="17" t="n">
        <v>3</v>
      </c>
      <c r="D108" s="17" t="s">
        <v>404</v>
      </c>
      <c r="E108" s="25" t="s">
        <v>506</v>
      </c>
      <c r="F108" s="17" t="s">
        <v>406</v>
      </c>
      <c r="G108" s="17" t="s">
        <v>64</v>
      </c>
      <c r="H108" s="17" t="s">
        <v>507</v>
      </c>
      <c r="I108" s="17"/>
      <c r="J108" s="17"/>
      <c r="K108" s="18" t="s">
        <v>52</v>
      </c>
      <c r="L108" s="19" t="s">
        <v>20</v>
      </c>
      <c r="M108" s="20"/>
      <c r="N108" s="19"/>
      <c r="O108" s="19"/>
      <c r="P108" s="21"/>
      <c r="Q108" s="22" t="n">
        <f aca="false">'Mode d''emploi'!$B$29</f>
        <v>27</v>
      </c>
    </row>
    <row r="109" customFormat="false" ht="35.05" hidden="false" customHeight="false" outlineLevel="0" collapsed="false">
      <c r="A109" s="17" t="n">
        <v>108</v>
      </c>
      <c r="B109" s="17" t="s">
        <v>123</v>
      </c>
      <c r="C109" s="17" t="n">
        <v>3</v>
      </c>
      <c r="D109" s="17" t="s">
        <v>404</v>
      </c>
      <c r="E109" s="25" t="s">
        <v>508</v>
      </c>
      <c r="F109" s="17" t="s">
        <v>509</v>
      </c>
      <c r="G109" s="17" t="s">
        <v>64</v>
      </c>
      <c r="H109" s="17" t="s">
        <v>510</v>
      </c>
      <c r="I109" s="18" t="s">
        <v>511</v>
      </c>
      <c r="J109" s="17" t="s">
        <v>512</v>
      </c>
      <c r="K109" s="18" t="s">
        <v>52</v>
      </c>
      <c r="L109" s="19" t="s">
        <v>20</v>
      </c>
      <c r="M109" s="20"/>
      <c r="N109" s="19"/>
      <c r="O109" s="19"/>
      <c r="P109" s="21"/>
      <c r="Q109" s="22" t="n">
        <f aca="false">'Mode d''emploi'!$B$29</f>
        <v>27</v>
      </c>
    </row>
    <row r="110" customFormat="false" ht="35.05" hidden="false" customHeight="false" outlineLevel="0" collapsed="false">
      <c r="A110" s="17" t="n">
        <v>109</v>
      </c>
      <c r="B110" s="17" t="s">
        <v>123</v>
      </c>
      <c r="C110" s="17" t="n">
        <v>3</v>
      </c>
      <c r="D110" s="17" t="s">
        <v>404</v>
      </c>
      <c r="E110" s="25" t="s">
        <v>513</v>
      </c>
      <c r="F110" s="17" t="s">
        <v>417</v>
      </c>
      <c r="G110" s="17" t="s">
        <v>64</v>
      </c>
      <c r="H110" s="17" t="s">
        <v>514</v>
      </c>
      <c r="I110" s="17"/>
      <c r="J110" s="17" t="s">
        <v>515</v>
      </c>
      <c r="K110" s="18" t="s">
        <v>52</v>
      </c>
      <c r="L110" s="19" t="s">
        <v>20</v>
      </c>
      <c r="M110" s="20"/>
      <c r="N110" s="19"/>
      <c r="O110" s="19"/>
      <c r="P110" s="21"/>
      <c r="Q110" s="22" t="n">
        <f aca="false">'Mode d''emploi'!$B$29</f>
        <v>27</v>
      </c>
    </row>
    <row r="111" customFormat="false" ht="35.05" hidden="false" customHeight="false" outlineLevel="0" collapsed="false">
      <c r="A111" s="17" t="n">
        <v>110</v>
      </c>
      <c r="B111" s="17" t="s">
        <v>123</v>
      </c>
      <c r="C111" s="17" t="n">
        <v>3</v>
      </c>
      <c r="D111" s="17" t="s">
        <v>404</v>
      </c>
      <c r="E111" s="25" t="s">
        <v>516</v>
      </c>
      <c r="F111" s="17" t="s">
        <v>517</v>
      </c>
      <c r="G111" s="17" t="s">
        <v>64</v>
      </c>
      <c r="H111" s="17" t="s">
        <v>518</v>
      </c>
      <c r="I111" s="18" t="s">
        <v>519</v>
      </c>
      <c r="J111" s="17" t="s">
        <v>520</v>
      </c>
      <c r="K111" s="18" t="s">
        <v>52</v>
      </c>
      <c r="L111" s="19" t="s">
        <v>20</v>
      </c>
      <c r="M111" s="20"/>
      <c r="N111" s="19"/>
      <c r="O111" s="19"/>
      <c r="P111" s="21"/>
      <c r="Q111" s="22" t="n">
        <f aca="false">'Mode d''emploi'!$B$29</f>
        <v>27</v>
      </c>
    </row>
    <row r="112" customFormat="false" ht="35.05" hidden="false" customHeight="false" outlineLevel="0" collapsed="false">
      <c r="A112" s="17" t="n">
        <v>111</v>
      </c>
      <c r="B112" s="17" t="s">
        <v>123</v>
      </c>
      <c r="C112" s="17" t="n">
        <v>3</v>
      </c>
      <c r="D112" s="17" t="s">
        <v>415</v>
      </c>
      <c r="E112" s="25" t="s">
        <v>521</v>
      </c>
      <c r="F112" s="17" t="s">
        <v>406</v>
      </c>
      <c r="G112" s="17" t="s">
        <v>64</v>
      </c>
      <c r="H112" s="17" t="s">
        <v>522</v>
      </c>
      <c r="I112" s="18" t="s">
        <v>523</v>
      </c>
      <c r="J112" s="17" t="s">
        <v>524</v>
      </c>
      <c r="K112" s="18" t="s">
        <v>52</v>
      </c>
      <c r="L112" s="19" t="s">
        <v>20</v>
      </c>
      <c r="M112" s="20"/>
      <c r="N112" s="19"/>
      <c r="O112" s="19"/>
      <c r="P112" s="21"/>
      <c r="Q112" s="22" t="n">
        <f aca="false">'Mode d''emploi'!$B$29</f>
        <v>27</v>
      </c>
    </row>
    <row r="113" customFormat="false" ht="35.05" hidden="false" customHeight="false" outlineLevel="0" collapsed="false">
      <c r="A113" s="15" t="n">
        <v>112</v>
      </c>
      <c r="B113" s="15" t="s">
        <v>525</v>
      </c>
      <c r="C113" s="15" t="n">
        <v>1</v>
      </c>
      <c r="D113" s="15" t="s">
        <v>47</v>
      </c>
      <c r="E113" s="16" t="s">
        <v>526</v>
      </c>
      <c r="F113" s="15" t="s">
        <v>527</v>
      </c>
      <c r="G113" s="15" t="s">
        <v>50</v>
      </c>
      <c r="H113" s="15" t="s">
        <v>528</v>
      </c>
      <c r="I113" s="17"/>
      <c r="J113" s="17" t="s">
        <v>529</v>
      </c>
      <c r="K113" s="18" t="s">
        <v>52</v>
      </c>
      <c r="L113" s="19" t="s">
        <v>20</v>
      </c>
      <c r="M113" s="20"/>
      <c r="N113" s="19"/>
      <c r="O113" s="19"/>
      <c r="P113" s="21"/>
      <c r="Q113" s="22" t="n">
        <f aca="false">'Mode d''emploi'!$B$29</f>
        <v>27</v>
      </c>
    </row>
    <row r="114" customFormat="false" ht="35.05" hidden="false" customHeight="false" outlineLevel="0" collapsed="false">
      <c r="A114" s="15" t="n">
        <v>113</v>
      </c>
      <c r="B114" s="15" t="s">
        <v>525</v>
      </c>
      <c r="C114" s="15" t="n">
        <v>1</v>
      </c>
      <c r="D114" s="15" t="s">
        <v>47</v>
      </c>
      <c r="E114" s="16" t="s">
        <v>530</v>
      </c>
      <c r="F114" s="15" t="s">
        <v>531</v>
      </c>
      <c r="G114" s="15" t="s">
        <v>50</v>
      </c>
      <c r="H114" s="15" t="s">
        <v>532</v>
      </c>
      <c r="I114" s="18" t="s">
        <v>533</v>
      </c>
      <c r="J114" s="17" t="s">
        <v>534</v>
      </c>
      <c r="K114" s="18" t="s">
        <v>52</v>
      </c>
      <c r="L114" s="19" t="s">
        <v>20</v>
      </c>
      <c r="M114" s="20"/>
      <c r="N114" s="19"/>
      <c r="O114" s="19"/>
      <c r="P114" s="21"/>
      <c r="Q114" s="22" t="n">
        <f aca="false">'Mode d''emploi'!$B$29</f>
        <v>27</v>
      </c>
    </row>
    <row r="115" customFormat="false" ht="46.25" hidden="false" customHeight="false" outlineLevel="0" collapsed="false">
      <c r="A115" s="15" t="n">
        <v>114</v>
      </c>
      <c r="B115" s="15" t="s">
        <v>525</v>
      </c>
      <c r="C115" s="15" t="n">
        <v>1</v>
      </c>
      <c r="D115" s="15" t="s">
        <v>47</v>
      </c>
      <c r="E115" s="16" t="s">
        <v>535</v>
      </c>
      <c r="F115" s="15" t="s">
        <v>536</v>
      </c>
      <c r="G115" s="15" t="s">
        <v>50</v>
      </c>
      <c r="H115" s="15" t="s">
        <v>537</v>
      </c>
      <c r="I115" s="18" t="s">
        <v>538</v>
      </c>
      <c r="J115" s="17" t="s">
        <v>539</v>
      </c>
      <c r="K115" s="18" t="s">
        <v>52</v>
      </c>
      <c r="L115" s="19" t="s">
        <v>20</v>
      </c>
      <c r="M115" s="20"/>
      <c r="N115" s="19"/>
      <c r="O115" s="19"/>
      <c r="P115" s="21"/>
      <c r="Q115" s="22" t="n">
        <f aca="false">'Mode d''emploi'!$B$29</f>
        <v>27</v>
      </c>
    </row>
    <row r="116" customFormat="false" ht="35.05" hidden="false" customHeight="false" outlineLevel="0" collapsed="false">
      <c r="A116" s="15" t="n">
        <v>115</v>
      </c>
      <c r="B116" s="15" t="s">
        <v>525</v>
      </c>
      <c r="C116" s="15" t="n">
        <v>1</v>
      </c>
      <c r="D116" s="15" t="s">
        <v>47</v>
      </c>
      <c r="E116" s="16" t="s">
        <v>540</v>
      </c>
      <c r="F116" s="15" t="s">
        <v>125</v>
      </c>
      <c r="G116" s="15" t="s">
        <v>50</v>
      </c>
      <c r="H116" s="15" t="s">
        <v>541</v>
      </c>
      <c r="I116" s="18" t="s">
        <v>542</v>
      </c>
      <c r="J116" s="17" t="s">
        <v>543</v>
      </c>
      <c r="K116" s="18" t="s">
        <v>52</v>
      </c>
      <c r="L116" s="19" t="s">
        <v>20</v>
      </c>
      <c r="M116" s="20"/>
      <c r="N116" s="19"/>
      <c r="O116" s="19"/>
      <c r="P116" s="21"/>
      <c r="Q116" s="22" t="n">
        <f aca="false">'Mode d''emploi'!$B$29</f>
        <v>27</v>
      </c>
    </row>
    <row r="117" customFormat="false" ht="35.05" hidden="false" customHeight="false" outlineLevel="0" collapsed="false">
      <c r="A117" s="15" t="n">
        <v>116</v>
      </c>
      <c r="B117" s="15" t="s">
        <v>525</v>
      </c>
      <c r="C117" s="15" t="n">
        <v>1</v>
      </c>
      <c r="D117" s="15" t="s">
        <v>47</v>
      </c>
      <c r="E117" s="16" t="s">
        <v>544</v>
      </c>
      <c r="F117" s="15" t="s">
        <v>545</v>
      </c>
      <c r="G117" s="15" t="s">
        <v>50</v>
      </c>
      <c r="H117" s="15" t="s">
        <v>546</v>
      </c>
      <c r="I117" s="18" t="s">
        <v>547</v>
      </c>
      <c r="J117" s="17" t="s">
        <v>548</v>
      </c>
      <c r="K117" s="18" t="s">
        <v>52</v>
      </c>
      <c r="L117" s="19" t="s">
        <v>20</v>
      </c>
      <c r="M117" s="20"/>
      <c r="N117" s="19"/>
      <c r="O117" s="19"/>
      <c r="P117" s="21"/>
      <c r="Q117" s="22" t="n">
        <f aca="false">'Mode d''emploi'!$B$29</f>
        <v>27</v>
      </c>
    </row>
    <row r="118" customFormat="false" ht="35.05" hidden="false" customHeight="false" outlineLevel="0" collapsed="false">
      <c r="A118" s="15" t="n">
        <v>117</v>
      </c>
      <c r="B118" s="15" t="s">
        <v>525</v>
      </c>
      <c r="C118" s="15" t="n">
        <v>1</v>
      </c>
      <c r="D118" s="15" t="s">
        <v>47</v>
      </c>
      <c r="E118" s="16" t="s">
        <v>549</v>
      </c>
      <c r="F118" s="15" t="s">
        <v>550</v>
      </c>
      <c r="G118" s="15" t="s">
        <v>50</v>
      </c>
      <c r="H118" s="15" t="s">
        <v>551</v>
      </c>
      <c r="I118" s="18" t="s">
        <v>552</v>
      </c>
      <c r="J118" s="17"/>
      <c r="K118" s="18" t="s">
        <v>52</v>
      </c>
      <c r="L118" s="19" t="s">
        <v>20</v>
      </c>
      <c r="M118" s="20"/>
      <c r="N118" s="19"/>
      <c r="O118" s="19"/>
      <c r="P118" s="21"/>
      <c r="Q118" s="22" t="n">
        <f aca="false">'Mode d''emploi'!$B$29</f>
        <v>27</v>
      </c>
    </row>
    <row r="119" customFormat="false" ht="46.25" hidden="false" customHeight="false" outlineLevel="0" collapsed="false">
      <c r="A119" s="15" t="n">
        <v>118</v>
      </c>
      <c r="B119" s="15" t="s">
        <v>525</v>
      </c>
      <c r="C119" s="15" t="n">
        <v>1</v>
      </c>
      <c r="D119" s="15" t="s">
        <v>47</v>
      </c>
      <c r="E119" s="16" t="s">
        <v>553</v>
      </c>
      <c r="F119" s="15" t="s">
        <v>554</v>
      </c>
      <c r="G119" s="15" t="s">
        <v>50</v>
      </c>
      <c r="H119" s="15" t="s">
        <v>555</v>
      </c>
      <c r="I119" s="18" t="s">
        <v>556</v>
      </c>
      <c r="J119" s="17"/>
      <c r="K119" s="18" t="s">
        <v>52</v>
      </c>
      <c r="L119" s="19" t="s">
        <v>20</v>
      </c>
      <c r="M119" s="20"/>
      <c r="N119" s="19"/>
      <c r="O119" s="19"/>
      <c r="P119" s="21"/>
      <c r="Q119" s="22" t="n">
        <f aca="false">'Mode d''emploi'!$B$29</f>
        <v>27</v>
      </c>
    </row>
    <row r="120" customFormat="false" ht="35.05" hidden="false" customHeight="false" outlineLevel="0" collapsed="false">
      <c r="A120" s="15" t="n">
        <v>119</v>
      </c>
      <c r="B120" s="15" t="s">
        <v>525</v>
      </c>
      <c r="C120" s="15" t="n">
        <v>1</v>
      </c>
      <c r="D120" s="15" t="s">
        <v>134</v>
      </c>
      <c r="E120" s="16" t="s">
        <v>557</v>
      </c>
      <c r="F120" s="15" t="s">
        <v>77</v>
      </c>
      <c r="G120" s="15" t="s">
        <v>50</v>
      </c>
      <c r="H120" s="15" t="s">
        <v>558</v>
      </c>
      <c r="I120" s="18" t="s">
        <v>559</v>
      </c>
      <c r="J120" s="17" t="s">
        <v>560</v>
      </c>
      <c r="K120" s="18" t="s">
        <v>52</v>
      </c>
      <c r="L120" s="19" t="s">
        <v>20</v>
      </c>
      <c r="M120" s="20"/>
      <c r="N120" s="19"/>
      <c r="O120" s="19"/>
      <c r="P120" s="21"/>
      <c r="Q120" s="22" t="n">
        <f aca="false">'Mode d''emploi'!$B$29</f>
        <v>27</v>
      </c>
    </row>
    <row r="121" customFormat="false" ht="46.25" hidden="false" customHeight="false" outlineLevel="0" collapsed="false">
      <c r="A121" s="15" t="n">
        <v>120</v>
      </c>
      <c r="B121" s="15" t="s">
        <v>525</v>
      </c>
      <c r="C121" s="15" t="n">
        <v>1</v>
      </c>
      <c r="D121" s="15" t="s">
        <v>134</v>
      </c>
      <c r="E121" s="16" t="s">
        <v>561</v>
      </c>
      <c r="F121" s="15" t="s">
        <v>562</v>
      </c>
      <c r="G121" s="15" t="s">
        <v>50</v>
      </c>
      <c r="H121" s="15" t="s">
        <v>563</v>
      </c>
      <c r="I121" s="18" t="s">
        <v>564</v>
      </c>
      <c r="J121" s="17" t="s">
        <v>565</v>
      </c>
      <c r="K121" s="18" t="s">
        <v>52</v>
      </c>
      <c r="L121" s="19" t="s">
        <v>20</v>
      </c>
      <c r="M121" s="20"/>
      <c r="N121" s="19"/>
      <c r="O121" s="19"/>
      <c r="P121" s="21"/>
      <c r="Q121" s="22" t="n">
        <f aca="false">'Mode d''emploi'!$B$29</f>
        <v>27</v>
      </c>
    </row>
    <row r="122" customFormat="false" ht="46.25" hidden="false" customHeight="false" outlineLevel="0" collapsed="false">
      <c r="A122" s="15" t="n">
        <v>121</v>
      </c>
      <c r="B122" s="15" t="s">
        <v>525</v>
      </c>
      <c r="C122" s="15" t="n">
        <v>1</v>
      </c>
      <c r="D122" s="15" t="s">
        <v>134</v>
      </c>
      <c r="E122" s="16" t="s">
        <v>566</v>
      </c>
      <c r="F122" s="15" t="s">
        <v>567</v>
      </c>
      <c r="G122" s="15" t="s">
        <v>50</v>
      </c>
      <c r="H122" s="15" t="s">
        <v>568</v>
      </c>
      <c r="I122" s="18" t="s">
        <v>569</v>
      </c>
      <c r="J122" s="17" t="s">
        <v>570</v>
      </c>
      <c r="K122" s="18" t="s">
        <v>52</v>
      </c>
      <c r="L122" s="19" t="s">
        <v>20</v>
      </c>
      <c r="M122" s="20"/>
      <c r="N122" s="19"/>
      <c r="O122" s="19"/>
      <c r="P122" s="21"/>
      <c r="Q122" s="22" t="n">
        <f aca="false">'Mode d''emploi'!$B$29</f>
        <v>27</v>
      </c>
    </row>
    <row r="123" customFormat="false" ht="46.25" hidden="false" customHeight="false" outlineLevel="0" collapsed="false">
      <c r="A123" s="15" t="n">
        <v>122</v>
      </c>
      <c r="B123" s="15" t="s">
        <v>525</v>
      </c>
      <c r="C123" s="15" t="n">
        <v>1</v>
      </c>
      <c r="D123" s="15" t="s">
        <v>134</v>
      </c>
      <c r="E123" s="16" t="s">
        <v>571</v>
      </c>
      <c r="F123" s="15" t="s">
        <v>572</v>
      </c>
      <c r="G123" s="15" t="s">
        <v>50</v>
      </c>
      <c r="H123" s="15" t="s">
        <v>573</v>
      </c>
      <c r="I123" s="17"/>
      <c r="J123" s="17"/>
      <c r="K123" s="18" t="s">
        <v>52</v>
      </c>
      <c r="L123" s="19" t="s">
        <v>20</v>
      </c>
      <c r="M123" s="20"/>
      <c r="N123" s="19"/>
      <c r="O123" s="19"/>
      <c r="P123" s="21"/>
      <c r="Q123" s="22" t="n">
        <f aca="false">'Mode d''emploi'!$B$29</f>
        <v>27</v>
      </c>
    </row>
    <row r="124" customFormat="false" ht="35.05" hidden="false" customHeight="false" outlineLevel="0" collapsed="false">
      <c r="A124" s="15" t="n">
        <v>123</v>
      </c>
      <c r="B124" s="15" t="s">
        <v>525</v>
      </c>
      <c r="C124" s="15" t="n">
        <v>1</v>
      </c>
      <c r="D124" s="15" t="s">
        <v>71</v>
      </c>
      <c r="E124" s="16" t="s">
        <v>574</v>
      </c>
      <c r="F124" s="15" t="s">
        <v>575</v>
      </c>
      <c r="G124" s="15" t="s">
        <v>50</v>
      </c>
      <c r="H124" s="15" t="s">
        <v>576</v>
      </c>
      <c r="I124" s="18" t="s">
        <v>577</v>
      </c>
      <c r="J124" s="17" t="s">
        <v>578</v>
      </c>
      <c r="K124" s="18" t="s">
        <v>52</v>
      </c>
      <c r="L124" s="19" t="s">
        <v>20</v>
      </c>
      <c r="M124" s="20"/>
      <c r="N124" s="19"/>
      <c r="O124" s="19"/>
      <c r="P124" s="21"/>
      <c r="Q124" s="22" t="n">
        <f aca="false">'Mode d''emploi'!$B$29</f>
        <v>27</v>
      </c>
    </row>
    <row r="125" customFormat="false" ht="35.05" hidden="false" customHeight="false" outlineLevel="0" collapsed="false">
      <c r="A125" s="15" t="n">
        <v>124</v>
      </c>
      <c r="B125" s="15" t="s">
        <v>525</v>
      </c>
      <c r="C125" s="15" t="n">
        <v>1</v>
      </c>
      <c r="D125" s="15" t="s">
        <v>71</v>
      </c>
      <c r="E125" s="16" t="s">
        <v>579</v>
      </c>
      <c r="F125" s="15" t="s">
        <v>580</v>
      </c>
      <c r="G125" s="15" t="s">
        <v>50</v>
      </c>
      <c r="H125" s="15" t="s">
        <v>581</v>
      </c>
      <c r="I125" s="18" t="s">
        <v>582</v>
      </c>
      <c r="J125" s="17" t="s">
        <v>583</v>
      </c>
      <c r="K125" s="18" t="s">
        <v>52</v>
      </c>
      <c r="L125" s="19" t="s">
        <v>20</v>
      </c>
      <c r="M125" s="20"/>
      <c r="N125" s="19"/>
      <c r="O125" s="19"/>
      <c r="P125" s="21"/>
      <c r="Q125" s="22" t="n">
        <f aca="false">'Mode d''emploi'!$B$29</f>
        <v>27</v>
      </c>
    </row>
    <row r="126" customFormat="false" ht="46.25" hidden="false" customHeight="false" outlineLevel="0" collapsed="false">
      <c r="A126" s="15" t="n">
        <v>125</v>
      </c>
      <c r="B126" s="15" t="s">
        <v>525</v>
      </c>
      <c r="C126" s="15" t="n">
        <v>1</v>
      </c>
      <c r="D126" s="15" t="s">
        <v>67</v>
      </c>
      <c r="E126" s="16" t="s">
        <v>584</v>
      </c>
      <c r="F126" s="15" t="s">
        <v>585</v>
      </c>
      <c r="G126" s="15" t="s">
        <v>50</v>
      </c>
      <c r="H126" s="15" t="s">
        <v>586</v>
      </c>
      <c r="I126" s="18" t="s">
        <v>587</v>
      </c>
      <c r="J126" s="17" t="s">
        <v>588</v>
      </c>
      <c r="K126" s="18" t="s">
        <v>52</v>
      </c>
      <c r="L126" s="19" t="s">
        <v>20</v>
      </c>
      <c r="M126" s="20"/>
      <c r="N126" s="19"/>
      <c r="O126" s="19"/>
      <c r="P126" s="21"/>
      <c r="Q126" s="22" t="n">
        <f aca="false">'Mode d''emploi'!$B$29</f>
        <v>27</v>
      </c>
    </row>
    <row r="127" customFormat="false" ht="46.25" hidden="false" customHeight="false" outlineLevel="0" collapsed="false">
      <c r="A127" s="15" t="n">
        <v>126</v>
      </c>
      <c r="B127" s="15" t="s">
        <v>525</v>
      </c>
      <c r="C127" s="15" t="n">
        <v>1</v>
      </c>
      <c r="D127" s="15" t="s">
        <v>589</v>
      </c>
      <c r="E127" s="16" t="s">
        <v>590</v>
      </c>
      <c r="F127" s="15" t="s">
        <v>591</v>
      </c>
      <c r="G127" s="15" t="s">
        <v>50</v>
      </c>
      <c r="H127" s="15" t="s">
        <v>592</v>
      </c>
      <c r="I127" s="18" t="s">
        <v>593</v>
      </c>
      <c r="J127" s="17" t="s">
        <v>594</v>
      </c>
      <c r="K127" s="18" t="s">
        <v>52</v>
      </c>
      <c r="L127" s="19" t="s">
        <v>20</v>
      </c>
      <c r="M127" s="20"/>
      <c r="N127" s="19"/>
      <c r="O127" s="19"/>
      <c r="P127" s="21"/>
      <c r="Q127" s="22" t="n">
        <f aca="false">'Mode d''emploi'!$B$29</f>
        <v>27</v>
      </c>
    </row>
    <row r="128" customFormat="false" ht="46.25" hidden="false" customHeight="false" outlineLevel="0" collapsed="false">
      <c r="A128" s="15" t="n">
        <v>127</v>
      </c>
      <c r="B128" s="15" t="s">
        <v>525</v>
      </c>
      <c r="C128" s="15" t="n">
        <v>1</v>
      </c>
      <c r="D128" s="15" t="s">
        <v>47</v>
      </c>
      <c r="E128" s="16" t="s">
        <v>595</v>
      </c>
      <c r="F128" s="15" t="s">
        <v>112</v>
      </c>
      <c r="G128" s="15" t="s">
        <v>64</v>
      </c>
      <c r="H128" s="15" t="s">
        <v>596</v>
      </c>
      <c r="I128" s="18" t="s">
        <v>597</v>
      </c>
      <c r="J128" s="17" t="s">
        <v>598</v>
      </c>
      <c r="K128" s="18" t="s">
        <v>52</v>
      </c>
      <c r="L128" s="19" t="s">
        <v>20</v>
      </c>
      <c r="M128" s="20"/>
      <c r="N128" s="19"/>
      <c r="O128" s="19"/>
      <c r="P128" s="21"/>
      <c r="Q128" s="22" t="n">
        <f aca="false">'Mode d''emploi'!$B$29</f>
        <v>27</v>
      </c>
    </row>
    <row r="129" customFormat="false" ht="35.05" hidden="false" customHeight="false" outlineLevel="0" collapsed="false">
      <c r="A129" s="15" t="n">
        <v>128</v>
      </c>
      <c r="B129" s="15" t="s">
        <v>525</v>
      </c>
      <c r="C129" s="15" t="n">
        <v>1</v>
      </c>
      <c r="D129" s="15" t="s">
        <v>47</v>
      </c>
      <c r="E129" s="16" t="s">
        <v>599</v>
      </c>
      <c r="F129" s="15" t="s">
        <v>176</v>
      </c>
      <c r="G129" s="15" t="s">
        <v>64</v>
      </c>
      <c r="H129" s="15" t="s">
        <v>600</v>
      </c>
      <c r="I129" s="18" t="s">
        <v>601</v>
      </c>
      <c r="J129" s="17"/>
      <c r="K129" s="18" t="s">
        <v>52</v>
      </c>
      <c r="L129" s="19" t="s">
        <v>20</v>
      </c>
      <c r="M129" s="20"/>
      <c r="N129" s="19"/>
      <c r="O129" s="19"/>
      <c r="P129" s="21"/>
      <c r="Q129" s="22" t="n">
        <f aca="false">'Mode d''emploi'!$B$29</f>
        <v>27</v>
      </c>
    </row>
    <row r="130" customFormat="false" ht="46.25" hidden="false" customHeight="false" outlineLevel="0" collapsed="false">
      <c r="A130" s="15" t="n">
        <v>129</v>
      </c>
      <c r="B130" s="15" t="s">
        <v>525</v>
      </c>
      <c r="C130" s="15" t="n">
        <v>1</v>
      </c>
      <c r="D130" s="15" t="s">
        <v>134</v>
      </c>
      <c r="E130" s="16" t="s">
        <v>602</v>
      </c>
      <c r="F130" s="15" t="s">
        <v>603</v>
      </c>
      <c r="G130" s="15" t="s">
        <v>64</v>
      </c>
      <c r="H130" s="15" t="s">
        <v>604</v>
      </c>
      <c r="I130" s="18" t="s">
        <v>605</v>
      </c>
      <c r="J130" s="17" t="s">
        <v>606</v>
      </c>
      <c r="K130" s="18" t="s">
        <v>52</v>
      </c>
      <c r="L130" s="19" t="s">
        <v>20</v>
      </c>
      <c r="M130" s="20"/>
      <c r="N130" s="19"/>
      <c r="O130" s="19"/>
      <c r="P130" s="21"/>
      <c r="Q130" s="22" t="n">
        <f aca="false">'Mode d''emploi'!$B$29</f>
        <v>27</v>
      </c>
    </row>
    <row r="131" customFormat="false" ht="35.05" hidden="false" customHeight="false" outlineLevel="0" collapsed="false">
      <c r="A131" s="15" t="n">
        <v>130</v>
      </c>
      <c r="B131" s="15" t="s">
        <v>525</v>
      </c>
      <c r="C131" s="15" t="n">
        <v>1</v>
      </c>
      <c r="D131" s="15" t="s">
        <v>134</v>
      </c>
      <c r="E131" s="16" t="s">
        <v>607</v>
      </c>
      <c r="F131" s="15" t="s">
        <v>608</v>
      </c>
      <c r="G131" s="15" t="s">
        <v>64</v>
      </c>
      <c r="H131" s="15" t="s">
        <v>609</v>
      </c>
      <c r="I131" s="18" t="s">
        <v>610</v>
      </c>
      <c r="J131" s="17" t="s">
        <v>611</v>
      </c>
      <c r="K131" s="18" t="s">
        <v>52</v>
      </c>
      <c r="L131" s="19" t="s">
        <v>20</v>
      </c>
      <c r="M131" s="20"/>
      <c r="N131" s="19"/>
      <c r="O131" s="19"/>
      <c r="P131" s="21"/>
      <c r="Q131" s="22" t="n">
        <f aca="false">'Mode d''emploi'!$B$29</f>
        <v>27</v>
      </c>
    </row>
    <row r="132" customFormat="false" ht="35.05" hidden="false" customHeight="false" outlineLevel="0" collapsed="false">
      <c r="A132" s="15" t="n">
        <v>131</v>
      </c>
      <c r="B132" s="15" t="s">
        <v>525</v>
      </c>
      <c r="C132" s="15" t="n">
        <v>1</v>
      </c>
      <c r="D132" s="15" t="s">
        <v>134</v>
      </c>
      <c r="E132" s="16" t="s">
        <v>612</v>
      </c>
      <c r="F132" s="15" t="s">
        <v>613</v>
      </c>
      <c r="G132" s="15" t="s">
        <v>64</v>
      </c>
      <c r="H132" s="15" t="s">
        <v>614</v>
      </c>
      <c r="I132" s="18" t="s">
        <v>615</v>
      </c>
      <c r="J132" s="17" t="s">
        <v>616</v>
      </c>
      <c r="K132" s="18" t="s">
        <v>52</v>
      </c>
      <c r="L132" s="19" t="s">
        <v>20</v>
      </c>
      <c r="M132" s="20"/>
      <c r="N132" s="19"/>
      <c r="O132" s="19"/>
      <c r="P132" s="21"/>
      <c r="Q132" s="22" t="n">
        <f aca="false">'Mode d''emploi'!$B$29</f>
        <v>27</v>
      </c>
    </row>
    <row r="133" customFormat="false" ht="57.45" hidden="false" customHeight="false" outlineLevel="0" collapsed="false">
      <c r="A133" s="15" t="n">
        <v>132</v>
      </c>
      <c r="B133" s="15" t="s">
        <v>525</v>
      </c>
      <c r="C133" s="15" t="n">
        <v>1</v>
      </c>
      <c r="D133" s="15" t="s">
        <v>75</v>
      </c>
      <c r="E133" s="16" t="s">
        <v>617</v>
      </c>
      <c r="F133" s="15" t="s">
        <v>406</v>
      </c>
      <c r="G133" s="15" t="s">
        <v>64</v>
      </c>
      <c r="H133" s="15" t="s">
        <v>618</v>
      </c>
      <c r="I133" s="18" t="s">
        <v>619</v>
      </c>
      <c r="J133" s="17" t="s">
        <v>620</v>
      </c>
      <c r="K133" s="18" t="s">
        <v>52</v>
      </c>
      <c r="L133" s="19" t="s">
        <v>20</v>
      </c>
      <c r="M133" s="20"/>
      <c r="N133" s="19"/>
      <c r="O133" s="19"/>
      <c r="P133" s="21"/>
      <c r="Q133" s="22" t="n">
        <f aca="false">'Mode d''emploi'!$B$29</f>
        <v>27</v>
      </c>
    </row>
    <row r="134" customFormat="false" ht="57.45" hidden="false" customHeight="false" outlineLevel="0" collapsed="false">
      <c r="A134" s="15" t="n">
        <v>133</v>
      </c>
      <c r="B134" s="15" t="s">
        <v>525</v>
      </c>
      <c r="C134" s="15" t="n">
        <v>1</v>
      </c>
      <c r="D134" s="15" t="s">
        <v>67</v>
      </c>
      <c r="E134" s="16" t="s">
        <v>621</v>
      </c>
      <c r="F134" s="15" t="s">
        <v>622</v>
      </c>
      <c r="G134" s="15" t="s">
        <v>64</v>
      </c>
      <c r="H134" s="15" t="s">
        <v>623</v>
      </c>
      <c r="I134" s="18" t="s">
        <v>624</v>
      </c>
      <c r="J134" s="17" t="s">
        <v>625</v>
      </c>
      <c r="K134" s="18" t="s">
        <v>52</v>
      </c>
      <c r="L134" s="19" t="s">
        <v>20</v>
      </c>
      <c r="M134" s="20"/>
      <c r="N134" s="19"/>
      <c r="O134" s="19"/>
      <c r="P134" s="21"/>
      <c r="Q134" s="22" t="n">
        <f aca="false">'Mode d''emploi'!$B$29</f>
        <v>27</v>
      </c>
    </row>
    <row r="135" customFormat="false" ht="35.05" hidden="false" customHeight="false" outlineLevel="0" collapsed="false">
      <c r="A135" s="15" t="n">
        <v>134</v>
      </c>
      <c r="B135" s="15" t="s">
        <v>525</v>
      </c>
      <c r="C135" s="15" t="n">
        <v>1</v>
      </c>
      <c r="D135" s="15" t="s">
        <v>589</v>
      </c>
      <c r="E135" s="16" t="s">
        <v>626</v>
      </c>
      <c r="F135" s="15" t="s">
        <v>627</v>
      </c>
      <c r="G135" s="15" t="s">
        <v>64</v>
      </c>
      <c r="H135" s="15" t="s">
        <v>628</v>
      </c>
      <c r="I135" s="18" t="s">
        <v>629</v>
      </c>
      <c r="J135" s="17" t="s">
        <v>630</v>
      </c>
      <c r="K135" s="18" t="s">
        <v>52</v>
      </c>
      <c r="L135" s="19" t="s">
        <v>20</v>
      </c>
      <c r="M135" s="20"/>
      <c r="N135" s="19"/>
      <c r="O135" s="19"/>
      <c r="P135" s="21"/>
      <c r="Q135" s="22" t="n">
        <f aca="false">'Mode d''emploi'!$B$29</f>
        <v>27</v>
      </c>
    </row>
    <row r="136" customFormat="false" ht="46.25" hidden="false" customHeight="false" outlineLevel="0" collapsed="false">
      <c r="A136" s="15" t="n">
        <v>135</v>
      </c>
      <c r="B136" s="15" t="s">
        <v>525</v>
      </c>
      <c r="C136" s="15" t="n">
        <v>1</v>
      </c>
      <c r="D136" s="15" t="s">
        <v>631</v>
      </c>
      <c r="E136" s="16" t="s">
        <v>632</v>
      </c>
      <c r="F136" s="15" t="s">
        <v>517</v>
      </c>
      <c r="G136" s="15" t="s">
        <v>64</v>
      </c>
      <c r="H136" s="15" t="s">
        <v>633</v>
      </c>
      <c r="I136" s="18" t="s">
        <v>634</v>
      </c>
      <c r="J136" s="17" t="s">
        <v>635</v>
      </c>
      <c r="K136" s="18" t="s">
        <v>52</v>
      </c>
      <c r="L136" s="19" t="s">
        <v>20</v>
      </c>
      <c r="M136" s="20"/>
      <c r="N136" s="19"/>
      <c r="O136" s="19"/>
      <c r="P136" s="21"/>
      <c r="Q136" s="22" t="n">
        <f aca="false">'Mode d''emploi'!$B$29</f>
        <v>27</v>
      </c>
    </row>
    <row r="137" customFormat="false" ht="35.05" hidden="false" customHeight="false" outlineLevel="0" collapsed="false">
      <c r="A137" s="23" t="n">
        <v>136</v>
      </c>
      <c r="B137" s="23" t="s">
        <v>525</v>
      </c>
      <c r="C137" s="23" t="n">
        <v>2</v>
      </c>
      <c r="D137" s="23" t="s">
        <v>134</v>
      </c>
      <c r="E137" s="24" t="s">
        <v>636</v>
      </c>
      <c r="F137" s="23" t="s">
        <v>637</v>
      </c>
      <c r="G137" s="23" t="s">
        <v>50</v>
      </c>
      <c r="H137" s="23" t="s">
        <v>638</v>
      </c>
      <c r="I137" s="17"/>
      <c r="J137" s="17"/>
      <c r="K137" s="18" t="s">
        <v>52</v>
      </c>
      <c r="L137" s="19" t="s">
        <v>20</v>
      </c>
      <c r="M137" s="20"/>
      <c r="N137" s="19"/>
      <c r="O137" s="19"/>
      <c r="P137" s="21"/>
      <c r="Q137" s="22" t="n">
        <f aca="false">'Mode d''emploi'!$B$29</f>
        <v>27</v>
      </c>
    </row>
    <row r="138" customFormat="false" ht="35.05" hidden="false" customHeight="false" outlineLevel="0" collapsed="false">
      <c r="A138" s="23" t="n">
        <v>137</v>
      </c>
      <c r="B138" s="23" t="s">
        <v>525</v>
      </c>
      <c r="C138" s="23" t="n">
        <v>2</v>
      </c>
      <c r="D138" s="23" t="s">
        <v>71</v>
      </c>
      <c r="E138" s="24" t="s">
        <v>639</v>
      </c>
      <c r="F138" s="23" t="s">
        <v>640</v>
      </c>
      <c r="G138" s="23" t="s">
        <v>50</v>
      </c>
      <c r="H138" s="23" t="s">
        <v>641</v>
      </c>
      <c r="I138" s="18" t="s">
        <v>642</v>
      </c>
      <c r="J138" s="17"/>
      <c r="K138" s="18" t="s">
        <v>52</v>
      </c>
      <c r="L138" s="19" t="s">
        <v>20</v>
      </c>
      <c r="M138" s="20"/>
      <c r="N138" s="19"/>
      <c r="O138" s="19"/>
      <c r="P138" s="21"/>
      <c r="Q138" s="22" t="n">
        <f aca="false">'Mode d''emploi'!$B$29</f>
        <v>27</v>
      </c>
    </row>
    <row r="139" customFormat="false" ht="35.05" hidden="false" customHeight="false" outlineLevel="0" collapsed="false">
      <c r="A139" s="23" t="n">
        <v>138</v>
      </c>
      <c r="B139" s="23" t="s">
        <v>525</v>
      </c>
      <c r="C139" s="23" t="n">
        <v>2</v>
      </c>
      <c r="D139" s="23" t="s">
        <v>71</v>
      </c>
      <c r="E139" s="24" t="s">
        <v>643</v>
      </c>
      <c r="F139" s="23" t="s">
        <v>644</v>
      </c>
      <c r="G139" s="23" t="s">
        <v>50</v>
      </c>
      <c r="H139" s="23" t="s">
        <v>645</v>
      </c>
      <c r="I139" s="17"/>
      <c r="J139" s="17"/>
      <c r="K139" s="18" t="s">
        <v>52</v>
      </c>
      <c r="L139" s="19" t="s">
        <v>20</v>
      </c>
      <c r="M139" s="20"/>
      <c r="N139" s="19"/>
      <c r="O139" s="19"/>
      <c r="P139" s="21"/>
      <c r="Q139" s="22" t="n">
        <f aca="false">'Mode d''emploi'!$B$29</f>
        <v>27</v>
      </c>
    </row>
    <row r="140" customFormat="false" ht="46.25" hidden="false" customHeight="false" outlineLevel="0" collapsed="false">
      <c r="A140" s="23" t="n">
        <v>139</v>
      </c>
      <c r="B140" s="23" t="s">
        <v>525</v>
      </c>
      <c r="C140" s="23" t="n">
        <v>2</v>
      </c>
      <c r="D140" s="23" t="s">
        <v>71</v>
      </c>
      <c r="E140" s="24" t="s">
        <v>646</v>
      </c>
      <c r="F140" s="23" t="s">
        <v>647</v>
      </c>
      <c r="G140" s="23" t="s">
        <v>50</v>
      </c>
      <c r="H140" s="23" t="s">
        <v>648</v>
      </c>
      <c r="I140" s="18" t="s">
        <v>649</v>
      </c>
      <c r="J140" s="17" t="s">
        <v>650</v>
      </c>
      <c r="K140" s="18" t="s">
        <v>52</v>
      </c>
      <c r="L140" s="19" t="s">
        <v>20</v>
      </c>
      <c r="M140" s="20"/>
      <c r="N140" s="19"/>
      <c r="O140" s="19"/>
      <c r="P140" s="21"/>
      <c r="Q140" s="22" t="n">
        <f aca="false">'Mode d''emploi'!$B$29</f>
        <v>27</v>
      </c>
    </row>
    <row r="141" customFormat="false" ht="35.05" hidden="false" customHeight="false" outlineLevel="0" collapsed="false">
      <c r="A141" s="23" t="n">
        <v>140</v>
      </c>
      <c r="B141" s="23" t="s">
        <v>525</v>
      </c>
      <c r="C141" s="23" t="n">
        <v>2</v>
      </c>
      <c r="D141" s="23" t="s">
        <v>75</v>
      </c>
      <c r="E141" s="24" t="s">
        <v>651</v>
      </c>
      <c r="F141" s="23" t="s">
        <v>652</v>
      </c>
      <c r="G141" s="23" t="s">
        <v>50</v>
      </c>
      <c r="H141" s="23" t="s">
        <v>653</v>
      </c>
      <c r="I141" s="18" t="s">
        <v>654</v>
      </c>
      <c r="J141" s="17" t="s">
        <v>655</v>
      </c>
      <c r="K141" s="18" t="s">
        <v>52</v>
      </c>
      <c r="L141" s="19" t="s">
        <v>20</v>
      </c>
      <c r="M141" s="20"/>
      <c r="N141" s="19"/>
      <c r="O141" s="19"/>
      <c r="P141" s="21"/>
      <c r="Q141" s="22" t="n">
        <f aca="false">'Mode d''emploi'!$B$29</f>
        <v>27</v>
      </c>
    </row>
    <row r="142" customFormat="false" ht="35.05" hidden="false" customHeight="false" outlineLevel="0" collapsed="false">
      <c r="A142" s="23" t="n">
        <v>141</v>
      </c>
      <c r="B142" s="23" t="s">
        <v>525</v>
      </c>
      <c r="C142" s="23" t="n">
        <v>2</v>
      </c>
      <c r="D142" s="23" t="s">
        <v>75</v>
      </c>
      <c r="E142" s="24" t="s">
        <v>656</v>
      </c>
      <c r="F142" s="23" t="s">
        <v>657</v>
      </c>
      <c r="G142" s="23" t="s">
        <v>50</v>
      </c>
      <c r="H142" s="23" t="s">
        <v>658</v>
      </c>
      <c r="I142" s="18" t="s">
        <v>659</v>
      </c>
      <c r="J142" s="17" t="s">
        <v>660</v>
      </c>
      <c r="K142" s="18" t="s">
        <v>52</v>
      </c>
      <c r="L142" s="19" t="s">
        <v>20</v>
      </c>
      <c r="M142" s="20"/>
      <c r="N142" s="19"/>
      <c r="O142" s="19"/>
      <c r="P142" s="21"/>
      <c r="Q142" s="22" t="n">
        <f aca="false">'Mode d''emploi'!$B$29</f>
        <v>27</v>
      </c>
    </row>
    <row r="143" customFormat="false" ht="46.25" hidden="false" customHeight="false" outlineLevel="0" collapsed="false">
      <c r="A143" s="23" t="n">
        <v>142</v>
      </c>
      <c r="B143" s="23" t="s">
        <v>525</v>
      </c>
      <c r="C143" s="23" t="n">
        <v>2</v>
      </c>
      <c r="D143" s="23" t="s">
        <v>67</v>
      </c>
      <c r="E143" s="24" t="s">
        <v>661</v>
      </c>
      <c r="F143" s="23" t="s">
        <v>662</v>
      </c>
      <c r="G143" s="23" t="s">
        <v>50</v>
      </c>
      <c r="H143" s="23" t="s">
        <v>663</v>
      </c>
      <c r="I143" s="18" t="s">
        <v>664</v>
      </c>
      <c r="J143" s="17" t="s">
        <v>665</v>
      </c>
      <c r="K143" s="18" t="s">
        <v>52</v>
      </c>
      <c r="L143" s="19" t="s">
        <v>20</v>
      </c>
      <c r="M143" s="20"/>
      <c r="N143" s="19"/>
      <c r="O143" s="19"/>
      <c r="P143" s="21"/>
      <c r="Q143" s="22" t="n">
        <f aca="false">'Mode d''emploi'!$B$29</f>
        <v>27</v>
      </c>
    </row>
    <row r="144" customFormat="false" ht="35.05" hidden="false" customHeight="false" outlineLevel="0" collapsed="false">
      <c r="A144" s="23" t="n">
        <v>143</v>
      </c>
      <c r="B144" s="23" t="s">
        <v>525</v>
      </c>
      <c r="C144" s="23" t="n">
        <v>2</v>
      </c>
      <c r="D144" s="23" t="s">
        <v>67</v>
      </c>
      <c r="E144" s="24" t="s">
        <v>666</v>
      </c>
      <c r="F144" s="23" t="s">
        <v>667</v>
      </c>
      <c r="G144" s="23" t="s">
        <v>50</v>
      </c>
      <c r="H144" s="23" t="s">
        <v>668</v>
      </c>
      <c r="I144" s="17"/>
      <c r="J144" s="17"/>
      <c r="K144" s="18" t="s">
        <v>52</v>
      </c>
      <c r="L144" s="19" t="s">
        <v>20</v>
      </c>
      <c r="M144" s="20"/>
      <c r="N144" s="19"/>
      <c r="O144" s="19"/>
      <c r="P144" s="21"/>
      <c r="Q144" s="22" t="n">
        <f aca="false">'Mode d''emploi'!$B$29</f>
        <v>27</v>
      </c>
    </row>
    <row r="145" customFormat="false" ht="35.05" hidden="false" customHeight="false" outlineLevel="0" collapsed="false">
      <c r="A145" s="23" t="n">
        <v>144</v>
      </c>
      <c r="B145" s="23" t="s">
        <v>525</v>
      </c>
      <c r="C145" s="23" t="n">
        <v>2</v>
      </c>
      <c r="D145" s="23" t="s">
        <v>67</v>
      </c>
      <c r="E145" s="24" t="s">
        <v>669</v>
      </c>
      <c r="F145" s="23" t="s">
        <v>670</v>
      </c>
      <c r="G145" s="23" t="s">
        <v>50</v>
      </c>
      <c r="H145" s="23" t="s">
        <v>671</v>
      </c>
      <c r="I145" s="17"/>
      <c r="J145" s="17"/>
      <c r="K145" s="18" t="s">
        <v>52</v>
      </c>
      <c r="L145" s="19" t="s">
        <v>20</v>
      </c>
      <c r="M145" s="20"/>
      <c r="N145" s="19"/>
      <c r="O145" s="19"/>
      <c r="P145" s="21"/>
      <c r="Q145" s="22" t="n">
        <f aca="false">'Mode d''emploi'!$B$29</f>
        <v>27</v>
      </c>
    </row>
    <row r="146" customFormat="false" ht="57.45" hidden="false" customHeight="false" outlineLevel="0" collapsed="false">
      <c r="A146" s="23" t="n">
        <v>145</v>
      </c>
      <c r="B146" s="23" t="s">
        <v>525</v>
      </c>
      <c r="C146" s="23" t="n">
        <v>2</v>
      </c>
      <c r="D146" s="23" t="s">
        <v>308</v>
      </c>
      <c r="E146" s="24" t="s">
        <v>672</v>
      </c>
      <c r="F146" s="23" t="s">
        <v>673</v>
      </c>
      <c r="G146" s="23" t="s">
        <v>50</v>
      </c>
      <c r="H146" s="23" t="s">
        <v>674</v>
      </c>
      <c r="I146" s="18" t="s">
        <v>675</v>
      </c>
      <c r="J146" s="17" t="s">
        <v>676</v>
      </c>
      <c r="K146" s="18" t="s">
        <v>52</v>
      </c>
      <c r="L146" s="19" t="s">
        <v>20</v>
      </c>
      <c r="M146" s="20"/>
      <c r="N146" s="19"/>
      <c r="O146" s="19"/>
      <c r="P146" s="21"/>
      <c r="Q146" s="22" t="n">
        <f aca="false">'Mode d''emploi'!$B$29</f>
        <v>27</v>
      </c>
    </row>
    <row r="147" customFormat="false" ht="46.25" hidden="false" customHeight="false" outlineLevel="0" collapsed="false">
      <c r="A147" s="23" t="n">
        <v>146</v>
      </c>
      <c r="B147" s="23" t="s">
        <v>525</v>
      </c>
      <c r="C147" s="23" t="n">
        <v>2</v>
      </c>
      <c r="D147" s="23" t="s">
        <v>308</v>
      </c>
      <c r="E147" s="24" t="s">
        <v>677</v>
      </c>
      <c r="F147" s="23" t="s">
        <v>678</v>
      </c>
      <c r="G147" s="23" t="s">
        <v>50</v>
      </c>
      <c r="H147" s="23" t="s">
        <v>679</v>
      </c>
      <c r="I147" s="18" t="s">
        <v>680</v>
      </c>
      <c r="J147" s="17" t="s">
        <v>681</v>
      </c>
      <c r="K147" s="18" t="s">
        <v>52</v>
      </c>
      <c r="L147" s="19" t="s">
        <v>20</v>
      </c>
      <c r="M147" s="20"/>
      <c r="N147" s="19"/>
      <c r="O147" s="19"/>
      <c r="P147" s="21"/>
      <c r="Q147" s="22" t="n">
        <f aca="false">'Mode d''emploi'!$B$29</f>
        <v>27</v>
      </c>
    </row>
    <row r="148" customFormat="false" ht="46.25" hidden="false" customHeight="false" outlineLevel="0" collapsed="false">
      <c r="A148" s="23" t="n">
        <v>147</v>
      </c>
      <c r="B148" s="23" t="s">
        <v>525</v>
      </c>
      <c r="C148" s="23" t="n">
        <v>2</v>
      </c>
      <c r="D148" s="23" t="s">
        <v>682</v>
      </c>
      <c r="E148" s="24" t="s">
        <v>683</v>
      </c>
      <c r="F148" s="23" t="s">
        <v>292</v>
      </c>
      <c r="G148" s="23" t="s">
        <v>50</v>
      </c>
      <c r="H148" s="23" t="s">
        <v>684</v>
      </c>
      <c r="I148" s="18" t="s">
        <v>685</v>
      </c>
      <c r="J148" s="17" t="s">
        <v>686</v>
      </c>
      <c r="K148" s="18" t="s">
        <v>52</v>
      </c>
      <c r="L148" s="19" t="s">
        <v>20</v>
      </c>
      <c r="M148" s="20"/>
      <c r="N148" s="19"/>
      <c r="O148" s="19"/>
      <c r="P148" s="21"/>
      <c r="Q148" s="22" t="n">
        <f aca="false">'Mode d''emploi'!$B$29</f>
        <v>27</v>
      </c>
    </row>
    <row r="149" customFormat="false" ht="57.45" hidden="false" customHeight="false" outlineLevel="0" collapsed="false">
      <c r="A149" s="23" t="n">
        <v>148</v>
      </c>
      <c r="B149" s="23" t="s">
        <v>525</v>
      </c>
      <c r="C149" s="23" t="n">
        <v>2</v>
      </c>
      <c r="D149" s="23" t="s">
        <v>687</v>
      </c>
      <c r="E149" s="24" t="s">
        <v>688</v>
      </c>
      <c r="F149" s="23" t="s">
        <v>689</v>
      </c>
      <c r="G149" s="23" t="s">
        <v>50</v>
      </c>
      <c r="H149" s="23" t="s">
        <v>690</v>
      </c>
      <c r="I149" s="17"/>
      <c r="J149" s="17"/>
      <c r="K149" s="18" t="s">
        <v>52</v>
      </c>
      <c r="L149" s="19" t="s">
        <v>20</v>
      </c>
      <c r="M149" s="20"/>
      <c r="N149" s="19"/>
      <c r="O149" s="19"/>
      <c r="P149" s="21"/>
      <c r="Q149" s="22" t="n">
        <f aca="false">'Mode d''emploi'!$B$29</f>
        <v>27</v>
      </c>
    </row>
    <row r="150" customFormat="false" ht="46.25" hidden="false" customHeight="false" outlineLevel="0" collapsed="false">
      <c r="A150" s="23" t="n">
        <v>149</v>
      </c>
      <c r="B150" s="23" t="s">
        <v>525</v>
      </c>
      <c r="C150" s="23" t="n">
        <v>2</v>
      </c>
      <c r="D150" s="23" t="s">
        <v>691</v>
      </c>
      <c r="E150" s="24" t="s">
        <v>692</v>
      </c>
      <c r="F150" s="23" t="s">
        <v>467</v>
      </c>
      <c r="G150" s="23" t="s">
        <v>50</v>
      </c>
      <c r="H150" s="23" t="s">
        <v>693</v>
      </c>
      <c r="I150" s="18" t="s">
        <v>694</v>
      </c>
      <c r="J150" s="17" t="s">
        <v>695</v>
      </c>
      <c r="K150" s="18" t="s">
        <v>52</v>
      </c>
      <c r="L150" s="19" t="s">
        <v>20</v>
      </c>
      <c r="M150" s="20"/>
      <c r="N150" s="19"/>
      <c r="O150" s="19"/>
      <c r="P150" s="21"/>
      <c r="Q150" s="22" t="n">
        <f aca="false">'Mode d''emploi'!$B$29</f>
        <v>27</v>
      </c>
    </row>
    <row r="151" customFormat="false" ht="57.45" hidden="false" customHeight="false" outlineLevel="0" collapsed="false">
      <c r="A151" s="23" t="n">
        <v>150</v>
      </c>
      <c r="B151" s="23" t="s">
        <v>525</v>
      </c>
      <c r="C151" s="23" t="n">
        <v>2</v>
      </c>
      <c r="D151" s="23" t="s">
        <v>691</v>
      </c>
      <c r="E151" s="24" t="s">
        <v>696</v>
      </c>
      <c r="F151" s="23" t="s">
        <v>60</v>
      </c>
      <c r="G151" s="23" t="s">
        <v>50</v>
      </c>
      <c r="H151" s="23" t="s">
        <v>697</v>
      </c>
      <c r="I151" s="18" t="s">
        <v>698</v>
      </c>
      <c r="J151" s="17" t="s">
        <v>699</v>
      </c>
      <c r="K151" s="18" t="s">
        <v>52</v>
      </c>
      <c r="L151" s="19" t="s">
        <v>20</v>
      </c>
      <c r="M151" s="20"/>
      <c r="N151" s="19"/>
      <c r="O151" s="19"/>
      <c r="P151" s="21"/>
      <c r="Q151" s="22" t="n">
        <f aca="false">'Mode d''emploi'!$B$29</f>
        <v>27</v>
      </c>
    </row>
    <row r="152" customFormat="false" ht="46.25" hidden="false" customHeight="false" outlineLevel="0" collapsed="false">
      <c r="A152" s="23" t="n">
        <v>151</v>
      </c>
      <c r="B152" s="23" t="s">
        <v>525</v>
      </c>
      <c r="C152" s="23" t="n">
        <v>2</v>
      </c>
      <c r="D152" s="23" t="s">
        <v>687</v>
      </c>
      <c r="E152" s="24" t="s">
        <v>700</v>
      </c>
      <c r="F152" s="23" t="s">
        <v>701</v>
      </c>
      <c r="G152" s="23" t="s">
        <v>50</v>
      </c>
      <c r="H152" s="23" t="s">
        <v>702</v>
      </c>
      <c r="I152" s="18" t="s">
        <v>703</v>
      </c>
      <c r="J152" s="17" t="s">
        <v>704</v>
      </c>
      <c r="K152" s="18" t="s">
        <v>52</v>
      </c>
      <c r="L152" s="19" t="s">
        <v>20</v>
      </c>
      <c r="M152" s="20"/>
      <c r="N152" s="19"/>
      <c r="O152" s="19"/>
      <c r="P152" s="21"/>
      <c r="Q152" s="22" t="n">
        <f aca="false">'Mode d''emploi'!$B$29</f>
        <v>27</v>
      </c>
    </row>
    <row r="153" customFormat="false" ht="57.45" hidden="false" customHeight="false" outlineLevel="0" collapsed="false">
      <c r="A153" s="23" t="n">
        <v>152</v>
      </c>
      <c r="B153" s="23" t="s">
        <v>525</v>
      </c>
      <c r="C153" s="23" t="n">
        <v>2</v>
      </c>
      <c r="D153" s="23" t="s">
        <v>682</v>
      </c>
      <c r="E153" s="24" t="s">
        <v>705</v>
      </c>
      <c r="F153" s="23" t="s">
        <v>706</v>
      </c>
      <c r="G153" s="23" t="s">
        <v>50</v>
      </c>
      <c r="H153" s="23" t="s">
        <v>707</v>
      </c>
      <c r="I153" s="18" t="s">
        <v>708</v>
      </c>
      <c r="J153" s="17" t="s">
        <v>709</v>
      </c>
      <c r="K153" s="18" t="s">
        <v>52</v>
      </c>
      <c r="L153" s="19" t="s">
        <v>20</v>
      </c>
      <c r="M153" s="20"/>
      <c r="N153" s="19"/>
      <c r="O153" s="19"/>
      <c r="P153" s="21"/>
      <c r="Q153" s="22" t="n">
        <f aca="false">'Mode d''emploi'!$B$29</f>
        <v>27</v>
      </c>
    </row>
    <row r="154" customFormat="false" ht="35.05" hidden="false" customHeight="false" outlineLevel="0" collapsed="false">
      <c r="A154" s="23" t="n">
        <v>153</v>
      </c>
      <c r="B154" s="23" t="s">
        <v>525</v>
      </c>
      <c r="C154" s="23" t="n">
        <v>2</v>
      </c>
      <c r="D154" s="23" t="s">
        <v>682</v>
      </c>
      <c r="E154" s="24" t="s">
        <v>710</v>
      </c>
      <c r="F154" s="23" t="s">
        <v>711</v>
      </c>
      <c r="G154" s="23" t="s">
        <v>50</v>
      </c>
      <c r="H154" s="23" t="s">
        <v>712</v>
      </c>
      <c r="I154" s="18" t="s">
        <v>713</v>
      </c>
      <c r="J154" s="17" t="s">
        <v>714</v>
      </c>
      <c r="K154" s="18" t="s">
        <v>52</v>
      </c>
      <c r="L154" s="19" t="s">
        <v>20</v>
      </c>
      <c r="M154" s="20"/>
      <c r="N154" s="19"/>
      <c r="O154" s="19"/>
      <c r="P154" s="21"/>
      <c r="Q154" s="22" t="n">
        <f aca="false">'Mode d''emploi'!$B$29</f>
        <v>27</v>
      </c>
    </row>
    <row r="155" customFormat="false" ht="46.25" hidden="false" customHeight="false" outlineLevel="0" collapsed="false">
      <c r="A155" s="23" t="n">
        <v>154</v>
      </c>
      <c r="B155" s="23" t="s">
        <v>525</v>
      </c>
      <c r="C155" s="23" t="n">
        <v>2</v>
      </c>
      <c r="D155" s="23" t="s">
        <v>47</v>
      </c>
      <c r="E155" s="24" t="s">
        <v>715</v>
      </c>
      <c r="F155" s="23" t="s">
        <v>716</v>
      </c>
      <c r="G155" s="23" t="s">
        <v>64</v>
      </c>
      <c r="H155" s="23" t="s">
        <v>717</v>
      </c>
      <c r="I155" s="17"/>
      <c r="J155" s="17" t="s">
        <v>718</v>
      </c>
      <c r="K155" s="18" t="s">
        <v>52</v>
      </c>
      <c r="L155" s="19" t="s">
        <v>20</v>
      </c>
      <c r="M155" s="20"/>
      <c r="N155" s="19"/>
      <c r="O155" s="19"/>
      <c r="P155" s="21"/>
      <c r="Q155" s="22" t="n">
        <f aca="false">'Mode d''emploi'!$B$29</f>
        <v>27</v>
      </c>
    </row>
    <row r="156" customFormat="false" ht="35.05" hidden="false" customHeight="false" outlineLevel="0" collapsed="false">
      <c r="A156" s="23" t="n">
        <v>155</v>
      </c>
      <c r="B156" s="23" t="s">
        <v>525</v>
      </c>
      <c r="C156" s="23" t="n">
        <v>2</v>
      </c>
      <c r="D156" s="23" t="s">
        <v>47</v>
      </c>
      <c r="E156" s="24" t="s">
        <v>719</v>
      </c>
      <c r="F156" s="23" t="s">
        <v>720</v>
      </c>
      <c r="G156" s="23" t="s">
        <v>64</v>
      </c>
      <c r="H156" s="23" t="s">
        <v>721</v>
      </c>
      <c r="I156" s="17"/>
      <c r="J156" s="17"/>
      <c r="K156" s="18" t="s">
        <v>52</v>
      </c>
      <c r="L156" s="19" t="s">
        <v>20</v>
      </c>
      <c r="M156" s="20"/>
      <c r="N156" s="19"/>
      <c r="O156" s="19"/>
      <c r="P156" s="21"/>
      <c r="Q156" s="22" t="n">
        <f aca="false">'Mode d''emploi'!$B$29</f>
        <v>27</v>
      </c>
    </row>
    <row r="157" customFormat="false" ht="35.05" hidden="false" customHeight="false" outlineLevel="0" collapsed="false">
      <c r="A157" s="23" t="n">
        <v>156</v>
      </c>
      <c r="B157" s="23" t="s">
        <v>525</v>
      </c>
      <c r="C157" s="23" t="n">
        <v>2</v>
      </c>
      <c r="D157" s="23" t="s">
        <v>134</v>
      </c>
      <c r="E157" s="24" t="s">
        <v>722</v>
      </c>
      <c r="F157" s="23" t="s">
        <v>723</v>
      </c>
      <c r="G157" s="23" t="s">
        <v>64</v>
      </c>
      <c r="H157" s="23" t="s">
        <v>724</v>
      </c>
      <c r="I157" s="17"/>
      <c r="J157" s="17" t="s">
        <v>725</v>
      </c>
      <c r="K157" s="18" t="s">
        <v>52</v>
      </c>
      <c r="L157" s="19" t="s">
        <v>20</v>
      </c>
      <c r="M157" s="20"/>
      <c r="N157" s="19"/>
      <c r="O157" s="19"/>
      <c r="P157" s="21"/>
      <c r="Q157" s="22" t="n">
        <f aca="false">'Mode d''emploi'!$B$29</f>
        <v>27</v>
      </c>
    </row>
    <row r="158" customFormat="false" ht="35.05" hidden="false" customHeight="false" outlineLevel="0" collapsed="false">
      <c r="A158" s="23" t="n">
        <v>157</v>
      </c>
      <c r="B158" s="23" t="s">
        <v>525</v>
      </c>
      <c r="C158" s="23" t="n">
        <v>2</v>
      </c>
      <c r="D158" s="23" t="s">
        <v>134</v>
      </c>
      <c r="E158" s="24" t="s">
        <v>726</v>
      </c>
      <c r="F158" s="23" t="s">
        <v>727</v>
      </c>
      <c r="G158" s="23" t="s">
        <v>64</v>
      </c>
      <c r="H158" s="23" t="s">
        <v>728</v>
      </c>
      <c r="I158" s="18" t="s">
        <v>729</v>
      </c>
      <c r="J158" s="17" t="s">
        <v>730</v>
      </c>
      <c r="K158" s="18" t="s">
        <v>52</v>
      </c>
      <c r="L158" s="19" t="s">
        <v>20</v>
      </c>
      <c r="M158" s="20"/>
      <c r="N158" s="19"/>
      <c r="O158" s="19"/>
      <c r="P158" s="21"/>
      <c r="Q158" s="22" t="n">
        <f aca="false">'Mode d''emploi'!$B$29</f>
        <v>27</v>
      </c>
    </row>
    <row r="159" customFormat="false" ht="46.25" hidden="false" customHeight="false" outlineLevel="0" collapsed="false">
      <c r="A159" s="23" t="n">
        <v>158</v>
      </c>
      <c r="B159" s="23" t="s">
        <v>525</v>
      </c>
      <c r="C159" s="23" t="n">
        <v>2</v>
      </c>
      <c r="D159" s="23" t="s">
        <v>71</v>
      </c>
      <c r="E159" s="24" t="s">
        <v>731</v>
      </c>
      <c r="F159" s="23" t="s">
        <v>732</v>
      </c>
      <c r="G159" s="23" t="s">
        <v>64</v>
      </c>
      <c r="H159" s="23" t="s">
        <v>733</v>
      </c>
      <c r="I159" s="17"/>
      <c r="J159" s="17" t="s">
        <v>734</v>
      </c>
      <c r="K159" s="18" t="s">
        <v>52</v>
      </c>
      <c r="L159" s="19" t="s">
        <v>20</v>
      </c>
      <c r="M159" s="20"/>
      <c r="N159" s="19"/>
      <c r="O159" s="19"/>
      <c r="P159" s="21"/>
      <c r="Q159" s="22" t="n">
        <f aca="false">'Mode d''emploi'!$B$29</f>
        <v>27</v>
      </c>
    </row>
    <row r="160" customFormat="false" ht="35.05" hidden="false" customHeight="false" outlineLevel="0" collapsed="false">
      <c r="A160" s="23" t="n">
        <v>159</v>
      </c>
      <c r="B160" s="23" t="s">
        <v>525</v>
      </c>
      <c r="C160" s="23" t="n">
        <v>2</v>
      </c>
      <c r="D160" s="23" t="s">
        <v>71</v>
      </c>
      <c r="E160" s="24" t="s">
        <v>735</v>
      </c>
      <c r="F160" s="23" t="s">
        <v>736</v>
      </c>
      <c r="G160" s="23" t="s">
        <v>64</v>
      </c>
      <c r="H160" s="23" t="s">
        <v>737</v>
      </c>
      <c r="I160" s="17"/>
      <c r="J160" s="17" t="s">
        <v>738</v>
      </c>
      <c r="K160" s="18" t="s">
        <v>52</v>
      </c>
      <c r="L160" s="19" t="s">
        <v>20</v>
      </c>
      <c r="M160" s="20"/>
      <c r="N160" s="19"/>
      <c r="O160" s="19"/>
      <c r="P160" s="21"/>
      <c r="Q160" s="22" t="n">
        <f aca="false">'Mode d''emploi'!$B$29</f>
        <v>27</v>
      </c>
    </row>
    <row r="161" customFormat="false" ht="57.45" hidden="false" customHeight="false" outlineLevel="0" collapsed="false">
      <c r="A161" s="23" t="n">
        <v>160</v>
      </c>
      <c r="B161" s="23" t="s">
        <v>525</v>
      </c>
      <c r="C161" s="23" t="n">
        <v>2</v>
      </c>
      <c r="D161" s="23" t="s">
        <v>94</v>
      </c>
      <c r="E161" s="24" t="s">
        <v>739</v>
      </c>
      <c r="F161" s="23" t="s">
        <v>740</v>
      </c>
      <c r="G161" s="23" t="s">
        <v>64</v>
      </c>
      <c r="H161" s="23" t="s">
        <v>741</v>
      </c>
      <c r="I161" s="18" t="s">
        <v>742</v>
      </c>
      <c r="J161" s="17" t="s">
        <v>743</v>
      </c>
      <c r="K161" s="18" t="s">
        <v>52</v>
      </c>
      <c r="L161" s="19" t="s">
        <v>20</v>
      </c>
      <c r="M161" s="20"/>
      <c r="N161" s="19"/>
      <c r="O161" s="19"/>
      <c r="P161" s="21"/>
      <c r="Q161" s="22" t="n">
        <f aca="false">'Mode d''emploi'!$B$29</f>
        <v>27</v>
      </c>
    </row>
    <row r="162" customFormat="false" ht="57.45" hidden="false" customHeight="false" outlineLevel="0" collapsed="false">
      <c r="A162" s="23" t="n">
        <v>161</v>
      </c>
      <c r="B162" s="23" t="s">
        <v>525</v>
      </c>
      <c r="C162" s="23" t="n">
        <v>2</v>
      </c>
      <c r="D162" s="23" t="s">
        <v>75</v>
      </c>
      <c r="E162" s="24" t="s">
        <v>744</v>
      </c>
      <c r="F162" s="23" t="s">
        <v>745</v>
      </c>
      <c r="G162" s="23" t="s">
        <v>64</v>
      </c>
      <c r="H162" s="23" t="s">
        <v>746</v>
      </c>
      <c r="I162" s="17"/>
      <c r="J162" s="17" t="s">
        <v>747</v>
      </c>
      <c r="K162" s="18" t="s">
        <v>52</v>
      </c>
      <c r="L162" s="19" t="s">
        <v>20</v>
      </c>
      <c r="M162" s="20"/>
      <c r="N162" s="19"/>
      <c r="O162" s="19"/>
      <c r="P162" s="21"/>
      <c r="Q162" s="22" t="n">
        <f aca="false">'Mode d''emploi'!$B$29</f>
        <v>27</v>
      </c>
    </row>
    <row r="163" customFormat="false" ht="35.05" hidden="false" customHeight="false" outlineLevel="0" collapsed="false">
      <c r="A163" s="23" t="n">
        <v>162</v>
      </c>
      <c r="B163" s="23" t="s">
        <v>525</v>
      </c>
      <c r="C163" s="23" t="n">
        <v>2</v>
      </c>
      <c r="D163" s="23" t="s">
        <v>75</v>
      </c>
      <c r="E163" s="24" t="s">
        <v>748</v>
      </c>
      <c r="F163" s="23" t="s">
        <v>366</v>
      </c>
      <c r="G163" s="23" t="s">
        <v>64</v>
      </c>
      <c r="H163" s="23" t="s">
        <v>749</v>
      </c>
      <c r="I163" s="17"/>
      <c r="J163" s="17" t="s">
        <v>750</v>
      </c>
      <c r="K163" s="18" t="s">
        <v>52</v>
      </c>
      <c r="L163" s="19" t="s">
        <v>20</v>
      </c>
      <c r="M163" s="20"/>
      <c r="N163" s="19"/>
      <c r="O163" s="19"/>
      <c r="P163" s="21"/>
      <c r="Q163" s="22" t="n">
        <f aca="false">'Mode d''emploi'!$B$29</f>
        <v>27</v>
      </c>
    </row>
    <row r="164" customFormat="false" ht="46.25" hidden="false" customHeight="false" outlineLevel="0" collapsed="false">
      <c r="A164" s="23" t="n">
        <v>163</v>
      </c>
      <c r="B164" s="23" t="s">
        <v>525</v>
      </c>
      <c r="C164" s="23" t="n">
        <v>2</v>
      </c>
      <c r="D164" s="23" t="s">
        <v>75</v>
      </c>
      <c r="E164" s="24" t="s">
        <v>751</v>
      </c>
      <c r="F164" s="23" t="s">
        <v>752</v>
      </c>
      <c r="G164" s="23" t="s">
        <v>64</v>
      </c>
      <c r="H164" s="23" t="s">
        <v>753</v>
      </c>
      <c r="I164" s="18" t="s">
        <v>754</v>
      </c>
      <c r="J164" s="17" t="s">
        <v>755</v>
      </c>
      <c r="K164" s="18" t="s">
        <v>52</v>
      </c>
      <c r="L164" s="19" t="s">
        <v>20</v>
      </c>
      <c r="M164" s="20"/>
      <c r="N164" s="19"/>
      <c r="O164" s="19"/>
      <c r="P164" s="21"/>
      <c r="Q164" s="22" t="n">
        <f aca="false">'Mode d''emploi'!$B$29</f>
        <v>27</v>
      </c>
    </row>
    <row r="165" customFormat="false" ht="46.25" hidden="false" customHeight="false" outlineLevel="0" collapsed="false">
      <c r="A165" s="23" t="n">
        <v>164</v>
      </c>
      <c r="B165" s="23" t="s">
        <v>525</v>
      </c>
      <c r="C165" s="23" t="n">
        <v>2</v>
      </c>
      <c r="D165" s="23" t="s">
        <v>75</v>
      </c>
      <c r="E165" s="24" t="s">
        <v>756</v>
      </c>
      <c r="F165" s="23" t="s">
        <v>757</v>
      </c>
      <c r="G165" s="23" t="s">
        <v>64</v>
      </c>
      <c r="H165" s="23" t="s">
        <v>758</v>
      </c>
      <c r="I165" s="18" t="s">
        <v>759</v>
      </c>
      <c r="J165" s="17" t="s">
        <v>760</v>
      </c>
      <c r="K165" s="18" t="s">
        <v>52</v>
      </c>
      <c r="L165" s="19" t="s">
        <v>20</v>
      </c>
      <c r="M165" s="20"/>
      <c r="N165" s="19"/>
      <c r="O165" s="19"/>
      <c r="P165" s="21"/>
      <c r="Q165" s="22" t="n">
        <f aca="false">'Mode d''emploi'!$B$29</f>
        <v>27</v>
      </c>
    </row>
    <row r="166" customFormat="false" ht="35.05" hidden="false" customHeight="false" outlineLevel="0" collapsed="false">
      <c r="A166" s="23" t="n">
        <v>165</v>
      </c>
      <c r="B166" s="23" t="s">
        <v>525</v>
      </c>
      <c r="C166" s="23" t="n">
        <v>2</v>
      </c>
      <c r="D166" s="23" t="s">
        <v>67</v>
      </c>
      <c r="E166" s="24" t="s">
        <v>761</v>
      </c>
      <c r="F166" s="23" t="s">
        <v>762</v>
      </c>
      <c r="G166" s="23" t="s">
        <v>64</v>
      </c>
      <c r="H166" s="23" t="s">
        <v>763</v>
      </c>
      <c r="I166" s="18" t="s">
        <v>764</v>
      </c>
      <c r="J166" s="17" t="s">
        <v>765</v>
      </c>
      <c r="K166" s="18" t="s">
        <v>52</v>
      </c>
      <c r="L166" s="19" t="s">
        <v>20</v>
      </c>
      <c r="M166" s="20"/>
      <c r="N166" s="19"/>
      <c r="O166" s="19"/>
      <c r="P166" s="21"/>
      <c r="Q166" s="22" t="n">
        <f aca="false">'Mode d''emploi'!$B$29</f>
        <v>27</v>
      </c>
    </row>
    <row r="167" customFormat="false" ht="57.45" hidden="false" customHeight="false" outlineLevel="0" collapsed="false">
      <c r="A167" s="23" t="n">
        <v>166</v>
      </c>
      <c r="B167" s="23" t="s">
        <v>525</v>
      </c>
      <c r="C167" s="23" t="n">
        <v>2</v>
      </c>
      <c r="D167" s="23" t="s">
        <v>67</v>
      </c>
      <c r="E167" s="24" t="s">
        <v>766</v>
      </c>
      <c r="F167" s="23" t="s">
        <v>767</v>
      </c>
      <c r="G167" s="23" t="s">
        <v>64</v>
      </c>
      <c r="H167" s="23" t="s">
        <v>768</v>
      </c>
      <c r="I167" s="18" t="s">
        <v>769</v>
      </c>
      <c r="J167" s="17" t="s">
        <v>770</v>
      </c>
      <c r="K167" s="18" t="s">
        <v>52</v>
      </c>
      <c r="L167" s="19" t="s">
        <v>20</v>
      </c>
      <c r="M167" s="20"/>
      <c r="N167" s="19"/>
      <c r="O167" s="19"/>
      <c r="P167" s="21"/>
      <c r="Q167" s="22" t="n">
        <f aca="false">'Mode d''emploi'!$B$29</f>
        <v>27</v>
      </c>
    </row>
    <row r="168" customFormat="false" ht="57.45" hidden="false" customHeight="false" outlineLevel="0" collapsed="false">
      <c r="A168" s="23" t="n">
        <v>167</v>
      </c>
      <c r="B168" s="23" t="s">
        <v>525</v>
      </c>
      <c r="C168" s="23" t="n">
        <v>2</v>
      </c>
      <c r="D168" s="23" t="s">
        <v>308</v>
      </c>
      <c r="E168" s="24" t="s">
        <v>771</v>
      </c>
      <c r="F168" s="23" t="s">
        <v>772</v>
      </c>
      <c r="G168" s="23" t="s">
        <v>64</v>
      </c>
      <c r="H168" s="23" t="s">
        <v>773</v>
      </c>
      <c r="I168" s="18" t="s">
        <v>774</v>
      </c>
      <c r="J168" s="17" t="s">
        <v>775</v>
      </c>
      <c r="K168" s="18" t="s">
        <v>52</v>
      </c>
      <c r="L168" s="19" t="s">
        <v>20</v>
      </c>
      <c r="M168" s="20"/>
      <c r="N168" s="19"/>
      <c r="O168" s="19"/>
      <c r="P168" s="21"/>
      <c r="Q168" s="22" t="n">
        <f aca="false">'Mode d''emploi'!$B$29</f>
        <v>27</v>
      </c>
    </row>
    <row r="169" customFormat="false" ht="46.25" hidden="false" customHeight="false" outlineLevel="0" collapsed="false">
      <c r="A169" s="23" t="n">
        <v>168</v>
      </c>
      <c r="B169" s="23" t="s">
        <v>525</v>
      </c>
      <c r="C169" s="23" t="n">
        <v>2</v>
      </c>
      <c r="D169" s="23" t="s">
        <v>308</v>
      </c>
      <c r="E169" s="24" t="s">
        <v>776</v>
      </c>
      <c r="F169" s="23" t="s">
        <v>777</v>
      </c>
      <c r="G169" s="23" t="s">
        <v>64</v>
      </c>
      <c r="H169" s="23" t="s">
        <v>778</v>
      </c>
      <c r="I169" s="18" t="s">
        <v>779</v>
      </c>
      <c r="J169" s="17" t="s">
        <v>780</v>
      </c>
      <c r="K169" s="18" t="s">
        <v>52</v>
      </c>
      <c r="L169" s="19" t="s">
        <v>20</v>
      </c>
      <c r="M169" s="20"/>
      <c r="N169" s="19"/>
      <c r="O169" s="19"/>
      <c r="P169" s="21"/>
      <c r="Q169" s="22" t="n">
        <f aca="false">'Mode d''emploi'!$B$29</f>
        <v>27</v>
      </c>
    </row>
    <row r="170" customFormat="false" ht="35.05" hidden="false" customHeight="false" outlineLevel="0" collapsed="false">
      <c r="A170" s="23" t="n">
        <v>169</v>
      </c>
      <c r="B170" s="23" t="s">
        <v>525</v>
      </c>
      <c r="C170" s="23" t="n">
        <v>2</v>
      </c>
      <c r="D170" s="23" t="s">
        <v>308</v>
      </c>
      <c r="E170" s="24" t="s">
        <v>781</v>
      </c>
      <c r="F170" s="23" t="s">
        <v>366</v>
      </c>
      <c r="G170" s="23" t="s">
        <v>64</v>
      </c>
      <c r="H170" s="23" t="s">
        <v>782</v>
      </c>
      <c r="I170" s="18" t="s">
        <v>783</v>
      </c>
      <c r="J170" s="17" t="s">
        <v>784</v>
      </c>
      <c r="K170" s="18" t="s">
        <v>52</v>
      </c>
      <c r="L170" s="19" t="s">
        <v>20</v>
      </c>
      <c r="M170" s="20"/>
      <c r="N170" s="19"/>
      <c r="O170" s="19"/>
      <c r="P170" s="21"/>
      <c r="Q170" s="22" t="n">
        <f aca="false">'Mode d''emploi'!$B$29</f>
        <v>27</v>
      </c>
    </row>
    <row r="171" customFormat="false" ht="57.45" hidden="false" customHeight="false" outlineLevel="0" collapsed="false">
      <c r="A171" s="23" t="n">
        <v>170</v>
      </c>
      <c r="B171" s="23" t="s">
        <v>525</v>
      </c>
      <c r="C171" s="23" t="n">
        <v>2</v>
      </c>
      <c r="D171" s="23" t="s">
        <v>691</v>
      </c>
      <c r="E171" s="24" t="s">
        <v>785</v>
      </c>
      <c r="F171" s="23" t="s">
        <v>786</v>
      </c>
      <c r="G171" s="23" t="s">
        <v>64</v>
      </c>
      <c r="H171" s="23" t="s">
        <v>787</v>
      </c>
      <c r="I171" s="18" t="s">
        <v>788</v>
      </c>
      <c r="J171" s="17" t="s">
        <v>789</v>
      </c>
      <c r="K171" s="18" t="s">
        <v>52</v>
      </c>
      <c r="L171" s="19" t="s">
        <v>20</v>
      </c>
      <c r="M171" s="20"/>
      <c r="N171" s="19"/>
      <c r="O171" s="19"/>
      <c r="P171" s="21"/>
      <c r="Q171" s="22" t="n">
        <f aca="false">'Mode d''emploi'!$B$29</f>
        <v>27</v>
      </c>
    </row>
    <row r="172" customFormat="false" ht="35.05" hidden="false" customHeight="false" outlineLevel="0" collapsed="false">
      <c r="A172" s="23" t="n">
        <v>171</v>
      </c>
      <c r="B172" s="23" t="s">
        <v>525</v>
      </c>
      <c r="C172" s="23" t="n">
        <v>2</v>
      </c>
      <c r="D172" s="23" t="s">
        <v>589</v>
      </c>
      <c r="E172" s="24" t="s">
        <v>790</v>
      </c>
      <c r="F172" s="23" t="s">
        <v>791</v>
      </c>
      <c r="G172" s="23" t="s">
        <v>64</v>
      </c>
      <c r="H172" s="23" t="s">
        <v>792</v>
      </c>
      <c r="I172" s="17"/>
      <c r="J172" s="17" t="s">
        <v>793</v>
      </c>
      <c r="K172" s="18" t="s">
        <v>52</v>
      </c>
      <c r="L172" s="19" t="s">
        <v>20</v>
      </c>
      <c r="M172" s="20"/>
      <c r="N172" s="19"/>
      <c r="O172" s="19"/>
      <c r="P172" s="21"/>
      <c r="Q172" s="22" t="n">
        <f aca="false">'Mode d''emploi'!$B$29</f>
        <v>27</v>
      </c>
    </row>
    <row r="173" customFormat="false" ht="35.05" hidden="false" customHeight="false" outlineLevel="0" collapsed="false">
      <c r="A173" s="23" t="n">
        <v>172</v>
      </c>
      <c r="B173" s="23" t="s">
        <v>525</v>
      </c>
      <c r="C173" s="23" t="n">
        <v>2</v>
      </c>
      <c r="D173" s="23" t="s">
        <v>682</v>
      </c>
      <c r="E173" s="24" t="s">
        <v>794</v>
      </c>
      <c r="F173" s="23" t="s">
        <v>795</v>
      </c>
      <c r="G173" s="23" t="s">
        <v>64</v>
      </c>
      <c r="H173" s="23" t="s">
        <v>796</v>
      </c>
      <c r="I173" s="18" t="s">
        <v>797</v>
      </c>
      <c r="J173" s="17" t="s">
        <v>798</v>
      </c>
      <c r="K173" s="18" t="s">
        <v>52</v>
      </c>
      <c r="L173" s="19" t="s">
        <v>20</v>
      </c>
      <c r="M173" s="20"/>
      <c r="N173" s="19"/>
      <c r="O173" s="19"/>
      <c r="P173" s="21"/>
      <c r="Q173" s="22" t="n">
        <f aca="false">'Mode d''emploi'!$B$29</f>
        <v>27</v>
      </c>
    </row>
    <row r="174" customFormat="false" ht="35.05" hidden="false" customHeight="false" outlineLevel="0" collapsed="false">
      <c r="A174" s="23" t="n">
        <v>173</v>
      </c>
      <c r="B174" s="23" t="s">
        <v>525</v>
      </c>
      <c r="C174" s="23" t="n">
        <v>2</v>
      </c>
      <c r="D174" s="23" t="s">
        <v>682</v>
      </c>
      <c r="E174" s="24" t="s">
        <v>799</v>
      </c>
      <c r="F174" s="23" t="s">
        <v>176</v>
      </c>
      <c r="G174" s="23" t="s">
        <v>64</v>
      </c>
      <c r="H174" s="23" t="s">
        <v>800</v>
      </c>
      <c r="I174" s="18" t="s">
        <v>801</v>
      </c>
      <c r="J174" s="17" t="s">
        <v>802</v>
      </c>
      <c r="K174" s="18" t="s">
        <v>52</v>
      </c>
      <c r="L174" s="19" t="s">
        <v>20</v>
      </c>
      <c r="M174" s="20"/>
      <c r="N174" s="19"/>
      <c r="O174" s="19"/>
      <c r="P174" s="21"/>
      <c r="Q174" s="22" t="n">
        <f aca="false">'Mode d''emploi'!$B$29</f>
        <v>27</v>
      </c>
    </row>
    <row r="175" customFormat="false" ht="46.25" hidden="false" customHeight="false" outlineLevel="0" collapsed="false">
      <c r="A175" s="23" t="n">
        <v>174</v>
      </c>
      <c r="B175" s="23" t="s">
        <v>525</v>
      </c>
      <c r="C175" s="23" t="n">
        <v>2</v>
      </c>
      <c r="D175" s="23" t="s">
        <v>682</v>
      </c>
      <c r="E175" s="24" t="s">
        <v>803</v>
      </c>
      <c r="F175" s="23" t="s">
        <v>804</v>
      </c>
      <c r="G175" s="23" t="s">
        <v>64</v>
      </c>
      <c r="H175" s="23" t="s">
        <v>805</v>
      </c>
      <c r="I175" s="18" t="s">
        <v>806</v>
      </c>
      <c r="J175" s="17" t="s">
        <v>807</v>
      </c>
      <c r="K175" s="18" t="s">
        <v>52</v>
      </c>
      <c r="L175" s="19" t="s">
        <v>20</v>
      </c>
      <c r="M175" s="20"/>
      <c r="N175" s="19"/>
      <c r="O175" s="19"/>
      <c r="P175" s="21"/>
      <c r="Q175" s="22" t="n">
        <f aca="false">'Mode d''emploi'!$B$29</f>
        <v>27</v>
      </c>
    </row>
    <row r="176" customFormat="false" ht="35.05" hidden="false" customHeight="false" outlineLevel="0" collapsed="false">
      <c r="A176" s="23" t="n">
        <v>175</v>
      </c>
      <c r="B176" s="23" t="s">
        <v>525</v>
      </c>
      <c r="C176" s="23" t="n">
        <v>2</v>
      </c>
      <c r="D176" s="23" t="s">
        <v>682</v>
      </c>
      <c r="E176" s="24" t="s">
        <v>808</v>
      </c>
      <c r="F176" s="23" t="s">
        <v>417</v>
      </c>
      <c r="G176" s="23" t="s">
        <v>64</v>
      </c>
      <c r="H176" s="23" t="s">
        <v>809</v>
      </c>
      <c r="I176" s="18" t="s">
        <v>810</v>
      </c>
      <c r="J176" s="17" t="s">
        <v>811</v>
      </c>
      <c r="K176" s="18" t="s">
        <v>52</v>
      </c>
      <c r="L176" s="19" t="s">
        <v>20</v>
      </c>
      <c r="M176" s="20"/>
      <c r="N176" s="19"/>
      <c r="O176" s="19"/>
      <c r="P176" s="21"/>
      <c r="Q176" s="22" t="n">
        <f aca="false">'Mode d''emploi'!$B$29</f>
        <v>27</v>
      </c>
    </row>
    <row r="177" customFormat="false" ht="46.25" hidden="false" customHeight="false" outlineLevel="0" collapsed="false">
      <c r="A177" s="17" t="n">
        <v>176</v>
      </c>
      <c r="B177" s="17" t="s">
        <v>525</v>
      </c>
      <c r="C177" s="17" t="n">
        <v>3</v>
      </c>
      <c r="D177" s="17" t="s">
        <v>71</v>
      </c>
      <c r="E177" s="25" t="s">
        <v>812</v>
      </c>
      <c r="F177" s="17" t="s">
        <v>813</v>
      </c>
      <c r="G177" s="17" t="s">
        <v>50</v>
      </c>
      <c r="H177" s="17" t="s">
        <v>814</v>
      </c>
      <c r="I177" s="18" t="s">
        <v>815</v>
      </c>
      <c r="J177" s="17" t="s">
        <v>816</v>
      </c>
      <c r="K177" s="18" t="s">
        <v>52</v>
      </c>
      <c r="L177" s="19" t="s">
        <v>20</v>
      </c>
      <c r="M177" s="20"/>
      <c r="N177" s="19"/>
      <c r="O177" s="19"/>
      <c r="P177" s="21"/>
      <c r="Q177" s="22" t="n">
        <f aca="false">'Mode d''emploi'!$B$29</f>
        <v>27</v>
      </c>
    </row>
    <row r="178" customFormat="false" ht="35.05" hidden="false" customHeight="false" outlineLevel="0" collapsed="false">
      <c r="A178" s="17" t="n">
        <v>177</v>
      </c>
      <c r="B178" s="17" t="s">
        <v>525</v>
      </c>
      <c r="C178" s="17" t="n">
        <v>3</v>
      </c>
      <c r="D178" s="17" t="s">
        <v>71</v>
      </c>
      <c r="E178" s="25" t="s">
        <v>817</v>
      </c>
      <c r="F178" s="17" t="s">
        <v>818</v>
      </c>
      <c r="G178" s="17" t="s">
        <v>50</v>
      </c>
      <c r="H178" s="17" t="s">
        <v>819</v>
      </c>
      <c r="I178" s="17"/>
      <c r="J178" s="17"/>
      <c r="K178" s="18" t="s">
        <v>52</v>
      </c>
      <c r="L178" s="19" t="s">
        <v>20</v>
      </c>
      <c r="M178" s="20"/>
      <c r="N178" s="19"/>
      <c r="O178" s="19"/>
      <c r="P178" s="21"/>
      <c r="Q178" s="22" t="n">
        <f aca="false">'Mode d''emploi'!$B$29</f>
        <v>27</v>
      </c>
    </row>
    <row r="179" customFormat="false" ht="57.45" hidden="false" customHeight="false" outlineLevel="0" collapsed="false">
      <c r="A179" s="17" t="n">
        <v>178</v>
      </c>
      <c r="B179" s="17" t="s">
        <v>525</v>
      </c>
      <c r="C179" s="17" t="n">
        <v>3</v>
      </c>
      <c r="D179" s="17" t="s">
        <v>94</v>
      </c>
      <c r="E179" s="25" t="s">
        <v>820</v>
      </c>
      <c r="F179" s="17" t="s">
        <v>821</v>
      </c>
      <c r="G179" s="17" t="s">
        <v>50</v>
      </c>
      <c r="H179" s="17" t="s">
        <v>822</v>
      </c>
      <c r="I179" s="18" t="s">
        <v>823</v>
      </c>
      <c r="J179" s="17" t="s">
        <v>824</v>
      </c>
      <c r="K179" s="18" t="s">
        <v>52</v>
      </c>
      <c r="L179" s="19" t="s">
        <v>20</v>
      </c>
      <c r="M179" s="20"/>
      <c r="N179" s="19"/>
      <c r="O179" s="19"/>
      <c r="P179" s="21"/>
      <c r="Q179" s="22" t="n">
        <f aca="false">'Mode d''emploi'!$B$29</f>
        <v>27</v>
      </c>
    </row>
    <row r="180" customFormat="false" ht="35.05" hidden="false" customHeight="false" outlineLevel="0" collapsed="false">
      <c r="A180" s="17" t="n">
        <v>179</v>
      </c>
      <c r="B180" s="17" t="s">
        <v>525</v>
      </c>
      <c r="C180" s="17" t="n">
        <v>3</v>
      </c>
      <c r="D180" s="17" t="s">
        <v>75</v>
      </c>
      <c r="E180" s="25" t="s">
        <v>825</v>
      </c>
      <c r="F180" s="17" t="s">
        <v>826</v>
      </c>
      <c r="G180" s="17" t="s">
        <v>50</v>
      </c>
      <c r="H180" s="17" t="s">
        <v>827</v>
      </c>
      <c r="I180" s="18" t="s">
        <v>828</v>
      </c>
      <c r="J180" s="17" t="s">
        <v>829</v>
      </c>
      <c r="K180" s="18" t="s">
        <v>52</v>
      </c>
      <c r="L180" s="19" t="s">
        <v>20</v>
      </c>
      <c r="M180" s="20"/>
      <c r="N180" s="19"/>
      <c r="O180" s="19"/>
      <c r="P180" s="21"/>
      <c r="Q180" s="22" t="n">
        <f aca="false">'Mode d''emploi'!$B$29</f>
        <v>27</v>
      </c>
    </row>
    <row r="181" customFormat="false" ht="35.05" hidden="false" customHeight="false" outlineLevel="0" collapsed="false">
      <c r="A181" s="17" t="n">
        <v>180</v>
      </c>
      <c r="B181" s="17" t="s">
        <v>525</v>
      </c>
      <c r="C181" s="17" t="n">
        <v>3</v>
      </c>
      <c r="D181" s="17" t="s">
        <v>75</v>
      </c>
      <c r="E181" s="25" t="s">
        <v>830</v>
      </c>
      <c r="F181" s="17" t="s">
        <v>831</v>
      </c>
      <c r="G181" s="17" t="s">
        <v>50</v>
      </c>
      <c r="H181" s="17" t="s">
        <v>832</v>
      </c>
      <c r="I181" s="18" t="s">
        <v>833</v>
      </c>
      <c r="J181" s="17" t="s">
        <v>834</v>
      </c>
      <c r="K181" s="18" t="s">
        <v>52</v>
      </c>
      <c r="L181" s="19" t="s">
        <v>20</v>
      </c>
      <c r="M181" s="20"/>
      <c r="N181" s="19"/>
      <c r="O181" s="19"/>
      <c r="P181" s="21"/>
      <c r="Q181" s="22" t="n">
        <f aca="false">'Mode d''emploi'!$B$29</f>
        <v>27</v>
      </c>
    </row>
    <row r="182" customFormat="false" ht="35.05" hidden="false" customHeight="false" outlineLevel="0" collapsed="false">
      <c r="A182" s="17" t="n">
        <v>181</v>
      </c>
      <c r="B182" s="17" t="s">
        <v>525</v>
      </c>
      <c r="C182" s="17" t="n">
        <v>3</v>
      </c>
      <c r="D182" s="17" t="s">
        <v>75</v>
      </c>
      <c r="E182" s="25" t="s">
        <v>835</v>
      </c>
      <c r="F182" s="17" t="s">
        <v>836</v>
      </c>
      <c r="G182" s="17" t="s">
        <v>50</v>
      </c>
      <c r="H182" s="17" t="s">
        <v>837</v>
      </c>
      <c r="I182" s="17"/>
      <c r="J182" s="17"/>
      <c r="K182" s="18" t="s">
        <v>52</v>
      </c>
      <c r="L182" s="19" t="s">
        <v>20</v>
      </c>
      <c r="M182" s="20"/>
      <c r="N182" s="19"/>
      <c r="O182" s="19"/>
      <c r="P182" s="21"/>
      <c r="Q182" s="22" t="n">
        <f aca="false">'Mode d''emploi'!$B$29</f>
        <v>27</v>
      </c>
    </row>
    <row r="183" customFormat="false" ht="35.05" hidden="false" customHeight="false" outlineLevel="0" collapsed="false">
      <c r="A183" s="17" t="n">
        <v>182</v>
      </c>
      <c r="B183" s="17" t="s">
        <v>525</v>
      </c>
      <c r="C183" s="17" t="n">
        <v>3</v>
      </c>
      <c r="D183" s="17" t="s">
        <v>75</v>
      </c>
      <c r="E183" s="25" t="s">
        <v>838</v>
      </c>
      <c r="F183" s="17" t="s">
        <v>839</v>
      </c>
      <c r="G183" s="17" t="s">
        <v>50</v>
      </c>
      <c r="H183" s="17" t="s">
        <v>840</v>
      </c>
      <c r="I183" s="18" t="s">
        <v>841</v>
      </c>
      <c r="J183" s="17" t="s">
        <v>842</v>
      </c>
      <c r="K183" s="18" t="s">
        <v>52</v>
      </c>
      <c r="L183" s="19" t="s">
        <v>20</v>
      </c>
      <c r="M183" s="20"/>
      <c r="N183" s="19"/>
      <c r="O183" s="19"/>
      <c r="P183" s="21"/>
      <c r="Q183" s="22" t="n">
        <f aca="false">'Mode d''emploi'!$B$29</f>
        <v>27</v>
      </c>
    </row>
    <row r="184" customFormat="false" ht="35.05" hidden="false" customHeight="false" outlineLevel="0" collapsed="false">
      <c r="A184" s="17" t="n">
        <v>183</v>
      </c>
      <c r="B184" s="17" t="s">
        <v>525</v>
      </c>
      <c r="C184" s="17" t="n">
        <v>3</v>
      </c>
      <c r="D184" s="17" t="s">
        <v>75</v>
      </c>
      <c r="E184" s="25" t="s">
        <v>843</v>
      </c>
      <c r="F184" s="17" t="s">
        <v>151</v>
      </c>
      <c r="G184" s="17" t="s">
        <v>50</v>
      </c>
      <c r="H184" s="17" t="s">
        <v>844</v>
      </c>
      <c r="I184" s="18" t="s">
        <v>845</v>
      </c>
      <c r="J184" s="17" t="s">
        <v>846</v>
      </c>
      <c r="K184" s="18" t="s">
        <v>52</v>
      </c>
      <c r="L184" s="19" t="s">
        <v>20</v>
      </c>
      <c r="M184" s="20"/>
      <c r="N184" s="19"/>
      <c r="O184" s="19"/>
      <c r="P184" s="21"/>
      <c r="Q184" s="22" t="n">
        <f aca="false">'Mode d''emploi'!$B$29</f>
        <v>27</v>
      </c>
    </row>
    <row r="185" customFormat="false" ht="46.25" hidden="false" customHeight="false" outlineLevel="0" collapsed="false">
      <c r="A185" s="17" t="n">
        <v>184</v>
      </c>
      <c r="B185" s="17" t="s">
        <v>525</v>
      </c>
      <c r="C185" s="17" t="n">
        <v>3</v>
      </c>
      <c r="D185" s="17" t="s">
        <v>308</v>
      </c>
      <c r="E185" s="25" t="s">
        <v>847</v>
      </c>
      <c r="F185" s="17" t="s">
        <v>848</v>
      </c>
      <c r="G185" s="17" t="s">
        <v>50</v>
      </c>
      <c r="H185" s="17" t="s">
        <v>849</v>
      </c>
      <c r="I185" s="18" t="s">
        <v>850</v>
      </c>
      <c r="J185" s="17" t="s">
        <v>851</v>
      </c>
      <c r="K185" s="18" t="s">
        <v>52</v>
      </c>
      <c r="L185" s="19" t="s">
        <v>20</v>
      </c>
      <c r="M185" s="20"/>
      <c r="N185" s="19"/>
      <c r="O185" s="19"/>
      <c r="P185" s="21"/>
      <c r="Q185" s="22" t="n">
        <f aca="false">'Mode d''emploi'!$B$29</f>
        <v>27</v>
      </c>
    </row>
    <row r="186" customFormat="false" ht="46.25" hidden="false" customHeight="false" outlineLevel="0" collapsed="false">
      <c r="A186" s="17" t="n">
        <v>185</v>
      </c>
      <c r="B186" s="17" t="s">
        <v>525</v>
      </c>
      <c r="C186" s="17" t="n">
        <v>3</v>
      </c>
      <c r="D186" s="17" t="s">
        <v>415</v>
      </c>
      <c r="E186" s="25" t="s">
        <v>852</v>
      </c>
      <c r="F186" s="17" t="s">
        <v>853</v>
      </c>
      <c r="G186" s="17" t="s">
        <v>50</v>
      </c>
      <c r="H186" s="17" t="s">
        <v>854</v>
      </c>
      <c r="I186" s="18" t="s">
        <v>855</v>
      </c>
      <c r="J186" s="17" t="s">
        <v>856</v>
      </c>
      <c r="K186" s="18" t="s">
        <v>52</v>
      </c>
      <c r="L186" s="19" t="s">
        <v>20</v>
      </c>
      <c r="M186" s="20"/>
      <c r="N186" s="19"/>
      <c r="O186" s="19"/>
      <c r="P186" s="21"/>
      <c r="Q186" s="22" t="n">
        <f aca="false">'Mode d''emploi'!$B$29</f>
        <v>27</v>
      </c>
    </row>
    <row r="187" customFormat="false" ht="57.45" hidden="false" customHeight="false" outlineLevel="0" collapsed="false">
      <c r="A187" s="17" t="n">
        <v>186</v>
      </c>
      <c r="B187" s="17" t="s">
        <v>525</v>
      </c>
      <c r="C187" s="17" t="n">
        <v>3</v>
      </c>
      <c r="D187" s="17" t="s">
        <v>682</v>
      </c>
      <c r="E187" s="25" t="s">
        <v>857</v>
      </c>
      <c r="F187" s="17" t="s">
        <v>858</v>
      </c>
      <c r="G187" s="17" t="s">
        <v>50</v>
      </c>
      <c r="H187" s="17" t="s">
        <v>859</v>
      </c>
      <c r="I187" s="18" t="s">
        <v>860</v>
      </c>
      <c r="J187" s="17" t="s">
        <v>861</v>
      </c>
      <c r="K187" s="18" t="s">
        <v>52</v>
      </c>
      <c r="L187" s="19" t="s">
        <v>20</v>
      </c>
      <c r="M187" s="20"/>
      <c r="N187" s="19"/>
      <c r="O187" s="19"/>
      <c r="P187" s="21"/>
      <c r="Q187" s="22" t="n">
        <f aca="false">'Mode d''emploi'!$B$29</f>
        <v>27</v>
      </c>
    </row>
    <row r="188" customFormat="false" ht="46.25" hidden="false" customHeight="false" outlineLevel="0" collapsed="false">
      <c r="A188" s="17" t="n">
        <v>187</v>
      </c>
      <c r="B188" s="17" t="s">
        <v>525</v>
      </c>
      <c r="C188" s="17" t="n">
        <v>3</v>
      </c>
      <c r="D188" s="17" t="s">
        <v>691</v>
      </c>
      <c r="E188" s="25" t="s">
        <v>862</v>
      </c>
      <c r="F188" s="17" t="s">
        <v>863</v>
      </c>
      <c r="G188" s="17" t="s">
        <v>50</v>
      </c>
      <c r="H188" s="17" t="s">
        <v>864</v>
      </c>
      <c r="I188" s="18" t="s">
        <v>865</v>
      </c>
      <c r="J188" s="17" t="s">
        <v>866</v>
      </c>
      <c r="K188" s="18" t="s">
        <v>52</v>
      </c>
      <c r="L188" s="19" t="s">
        <v>20</v>
      </c>
      <c r="M188" s="20"/>
      <c r="N188" s="19"/>
      <c r="O188" s="19"/>
      <c r="P188" s="21"/>
      <c r="Q188" s="22" t="n">
        <f aca="false">'Mode d''emploi'!$B$29</f>
        <v>27</v>
      </c>
    </row>
    <row r="189" customFormat="false" ht="57.45" hidden="false" customHeight="false" outlineLevel="0" collapsed="false">
      <c r="A189" s="17" t="n">
        <v>188</v>
      </c>
      <c r="B189" s="17" t="s">
        <v>525</v>
      </c>
      <c r="C189" s="17" t="n">
        <v>3</v>
      </c>
      <c r="D189" s="17" t="s">
        <v>94</v>
      </c>
      <c r="E189" s="25" t="s">
        <v>867</v>
      </c>
      <c r="F189" s="17" t="s">
        <v>868</v>
      </c>
      <c r="G189" s="17" t="s">
        <v>64</v>
      </c>
      <c r="H189" s="17" t="s">
        <v>869</v>
      </c>
      <c r="I189" s="17"/>
      <c r="J189" s="17"/>
      <c r="K189" s="18" t="s">
        <v>52</v>
      </c>
      <c r="L189" s="19" t="s">
        <v>20</v>
      </c>
      <c r="M189" s="20"/>
      <c r="N189" s="19"/>
      <c r="O189" s="19"/>
      <c r="P189" s="21"/>
      <c r="Q189" s="22" t="n">
        <f aca="false">'Mode d''emploi'!$B$29</f>
        <v>27</v>
      </c>
    </row>
    <row r="190" customFormat="false" ht="57.45" hidden="false" customHeight="false" outlineLevel="0" collapsed="false">
      <c r="A190" s="17" t="n">
        <v>189</v>
      </c>
      <c r="B190" s="17" t="s">
        <v>525</v>
      </c>
      <c r="C190" s="17" t="n">
        <v>3</v>
      </c>
      <c r="D190" s="17" t="s">
        <v>94</v>
      </c>
      <c r="E190" s="25" t="s">
        <v>870</v>
      </c>
      <c r="F190" s="17" t="s">
        <v>871</v>
      </c>
      <c r="G190" s="17" t="s">
        <v>64</v>
      </c>
      <c r="H190" s="17" t="s">
        <v>872</v>
      </c>
      <c r="I190" s="17"/>
      <c r="J190" s="17" t="s">
        <v>873</v>
      </c>
      <c r="K190" s="18" t="s">
        <v>52</v>
      </c>
      <c r="L190" s="19" t="s">
        <v>20</v>
      </c>
      <c r="M190" s="20"/>
      <c r="N190" s="19"/>
      <c r="O190" s="19"/>
      <c r="P190" s="21"/>
      <c r="Q190" s="22" t="n">
        <f aca="false">'Mode d''emploi'!$B$29</f>
        <v>27</v>
      </c>
    </row>
    <row r="191" customFormat="false" ht="46.25" hidden="false" customHeight="false" outlineLevel="0" collapsed="false">
      <c r="A191" s="17" t="n">
        <v>190</v>
      </c>
      <c r="B191" s="17" t="s">
        <v>525</v>
      </c>
      <c r="C191" s="17" t="n">
        <v>3</v>
      </c>
      <c r="D191" s="17" t="s">
        <v>67</v>
      </c>
      <c r="E191" s="25" t="s">
        <v>874</v>
      </c>
      <c r="F191" s="17" t="s">
        <v>875</v>
      </c>
      <c r="G191" s="17" t="s">
        <v>64</v>
      </c>
      <c r="H191" s="17" t="s">
        <v>876</v>
      </c>
      <c r="I191" s="18" t="s">
        <v>877</v>
      </c>
      <c r="J191" s="17" t="s">
        <v>878</v>
      </c>
      <c r="K191" s="18" t="s">
        <v>52</v>
      </c>
      <c r="L191" s="19" t="s">
        <v>20</v>
      </c>
      <c r="M191" s="20"/>
      <c r="N191" s="19"/>
      <c r="O191" s="19"/>
      <c r="P191" s="21"/>
      <c r="Q191" s="22" t="n">
        <f aca="false">'Mode d''emploi'!$B$29</f>
        <v>27</v>
      </c>
    </row>
    <row r="192" customFormat="false" ht="57.45" hidden="false" customHeight="false" outlineLevel="0" collapsed="false">
      <c r="A192" s="17" t="n">
        <v>191</v>
      </c>
      <c r="B192" s="17" t="s">
        <v>525</v>
      </c>
      <c r="C192" s="17" t="n">
        <v>3</v>
      </c>
      <c r="D192" s="17" t="s">
        <v>308</v>
      </c>
      <c r="E192" s="25" t="s">
        <v>879</v>
      </c>
      <c r="F192" s="17" t="s">
        <v>880</v>
      </c>
      <c r="G192" s="17" t="s">
        <v>64</v>
      </c>
      <c r="H192" s="17" t="s">
        <v>881</v>
      </c>
      <c r="I192" s="17"/>
      <c r="J192" s="17" t="s">
        <v>882</v>
      </c>
      <c r="K192" s="18" t="s">
        <v>52</v>
      </c>
      <c r="L192" s="19" t="s">
        <v>20</v>
      </c>
      <c r="M192" s="20"/>
      <c r="N192" s="19"/>
      <c r="O192" s="19"/>
      <c r="P192" s="21"/>
      <c r="Q192" s="22" t="n">
        <f aca="false">'Mode d''emploi'!$B$29</f>
        <v>27</v>
      </c>
    </row>
    <row r="193" customFormat="false" ht="35.05" hidden="false" customHeight="false" outlineLevel="0" collapsed="false">
      <c r="A193" s="17" t="n">
        <v>192</v>
      </c>
      <c r="B193" s="17" t="s">
        <v>525</v>
      </c>
      <c r="C193" s="17" t="n">
        <v>3</v>
      </c>
      <c r="D193" s="17" t="s">
        <v>682</v>
      </c>
      <c r="E193" s="25" t="s">
        <v>883</v>
      </c>
      <c r="F193" s="17" t="s">
        <v>406</v>
      </c>
      <c r="G193" s="17" t="s">
        <v>64</v>
      </c>
      <c r="H193" s="17" t="s">
        <v>884</v>
      </c>
      <c r="I193" s="18" t="s">
        <v>885</v>
      </c>
      <c r="J193" s="17" t="s">
        <v>886</v>
      </c>
      <c r="K193" s="18" t="s">
        <v>52</v>
      </c>
      <c r="L193" s="19" t="s">
        <v>20</v>
      </c>
      <c r="M193" s="20"/>
      <c r="N193" s="19"/>
      <c r="O193" s="19"/>
      <c r="P193" s="21"/>
      <c r="Q193" s="22" t="n">
        <f aca="false">'Mode d''emploi'!$B$29</f>
        <v>27</v>
      </c>
    </row>
    <row r="194" customFormat="false" ht="35.05" hidden="false" customHeight="false" outlineLevel="0" collapsed="false">
      <c r="A194" s="17" t="n">
        <v>193</v>
      </c>
      <c r="B194" s="17" t="s">
        <v>525</v>
      </c>
      <c r="C194" s="17" t="n">
        <v>3</v>
      </c>
      <c r="D194" s="17" t="s">
        <v>682</v>
      </c>
      <c r="E194" s="25" t="s">
        <v>887</v>
      </c>
      <c r="F194" s="17" t="s">
        <v>888</v>
      </c>
      <c r="G194" s="17" t="s">
        <v>64</v>
      </c>
      <c r="H194" s="17" t="s">
        <v>889</v>
      </c>
      <c r="I194" s="18" t="s">
        <v>890</v>
      </c>
      <c r="J194" s="17" t="s">
        <v>891</v>
      </c>
      <c r="K194" s="18" t="s">
        <v>52</v>
      </c>
      <c r="L194" s="19" t="s">
        <v>20</v>
      </c>
      <c r="M194" s="20"/>
      <c r="N194" s="19"/>
      <c r="O194" s="19"/>
      <c r="P194" s="21"/>
      <c r="Q194" s="22" t="n">
        <f aca="false">'Mode d''emploi'!$B$29</f>
        <v>27</v>
      </c>
    </row>
    <row r="195" customFormat="false" ht="57.45" hidden="false" customHeight="false" outlineLevel="0" collapsed="false">
      <c r="A195" s="17" t="n">
        <v>194</v>
      </c>
      <c r="B195" s="17" t="s">
        <v>525</v>
      </c>
      <c r="C195" s="17" t="n">
        <v>3</v>
      </c>
      <c r="D195" s="17" t="s">
        <v>892</v>
      </c>
      <c r="E195" s="25" t="s">
        <v>893</v>
      </c>
      <c r="F195" s="17" t="s">
        <v>894</v>
      </c>
      <c r="G195" s="17" t="s">
        <v>64</v>
      </c>
      <c r="H195" s="17" t="s">
        <v>895</v>
      </c>
      <c r="I195" s="18" t="s">
        <v>896</v>
      </c>
      <c r="J195" s="17" t="s">
        <v>897</v>
      </c>
      <c r="K195" s="18" t="s">
        <v>52</v>
      </c>
      <c r="L195" s="19" t="s">
        <v>20</v>
      </c>
      <c r="M195" s="20"/>
      <c r="N195" s="19"/>
      <c r="O195" s="19"/>
      <c r="P195" s="21"/>
      <c r="Q195" s="22" t="n">
        <f aca="false">'Mode d''emploi'!$B$29</f>
        <v>27</v>
      </c>
    </row>
    <row r="196" customFormat="false" ht="57.45" hidden="false" customHeight="false" outlineLevel="0" collapsed="false">
      <c r="A196" s="17" t="n">
        <v>195</v>
      </c>
      <c r="B196" s="17" t="s">
        <v>525</v>
      </c>
      <c r="C196" s="17" t="n">
        <v>3</v>
      </c>
      <c r="D196" s="17" t="s">
        <v>682</v>
      </c>
      <c r="E196" s="25" t="s">
        <v>898</v>
      </c>
      <c r="F196" s="17" t="s">
        <v>191</v>
      </c>
      <c r="G196" s="17" t="s">
        <v>64</v>
      </c>
      <c r="H196" s="17" t="s">
        <v>899</v>
      </c>
      <c r="I196" s="18" t="s">
        <v>900</v>
      </c>
      <c r="J196" s="17" t="s">
        <v>901</v>
      </c>
      <c r="K196" s="18" t="s">
        <v>52</v>
      </c>
      <c r="L196" s="19" t="s">
        <v>20</v>
      </c>
      <c r="M196" s="20"/>
      <c r="N196" s="19"/>
      <c r="O196" s="19"/>
      <c r="P196" s="21"/>
      <c r="Q196" s="22" t="n">
        <f aca="false">'Mode d''emploi'!$B$29</f>
        <v>27</v>
      </c>
    </row>
    <row r="197" customFormat="false" ht="57.45" hidden="false" customHeight="false" outlineLevel="0" collapsed="false">
      <c r="A197" s="17" t="n">
        <v>196</v>
      </c>
      <c r="B197" s="17" t="s">
        <v>525</v>
      </c>
      <c r="C197" s="17" t="n">
        <v>3</v>
      </c>
      <c r="D197" s="17" t="s">
        <v>631</v>
      </c>
      <c r="E197" s="25" t="s">
        <v>902</v>
      </c>
      <c r="F197" s="17" t="s">
        <v>903</v>
      </c>
      <c r="G197" s="17" t="s">
        <v>64</v>
      </c>
      <c r="H197" s="17" t="s">
        <v>904</v>
      </c>
      <c r="I197" s="18" t="s">
        <v>905</v>
      </c>
      <c r="J197" s="17" t="s">
        <v>906</v>
      </c>
      <c r="K197" s="18" t="s">
        <v>52</v>
      </c>
      <c r="L197" s="19" t="s">
        <v>20</v>
      </c>
      <c r="M197" s="20"/>
      <c r="N197" s="19"/>
      <c r="O197" s="19"/>
      <c r="P197" s="21"/>
      <c r="Q197" s="22" t="n">
        <f aca="false">'Mode d''emploi'!$B$29</f>
        <v>27</v>
      </c>
    </row>
    <row r="198" customFormat="false" ht="46.25" hidden="false" customHeight="false" outlineLevel="0" collapsed="false">
      <c r="A198" s="17" t="n">
        <v>197</v>
      </c>
      <c r="B198" s="17" t="s">
        <v>525</v>
      </c>
      <c r="C198" s="17" t="n">
        <v>3</v>
      </c>
      <c r="D198" s="17" t="s">
        <v>687</v>
      </c>
      <c r="E198" s="25" t="s">
        <v>907</v>
      </c>
      <c r="F198" s="17" t="s">
        <v>908</v>
      </c>
      <c r="G198" s="17" t="s">
        <v>64</v>
      </c>
      <c r="H198" s="17" t="s">
        <v>909</v>
      </c>
      <c r="I198" s="18" t="s">
        <v>910</v>
      </c>
      <c r="J198" s="17"/>
      <c r="K198" s="18" t="s">
        <v>52</v>
      </c>
      <c r="L198" s="19" t="s">
        <v>20</v>
      </c>
      <c r="M198" s="20"/>
      <c r="N198" s="19"/>
      <c r="O198" s="19"/>
      <c r="P198" s="21"/>
      <c r="Q198" s="22" t="n">
        <f aca="false">'Mode d''emploi'!$B$29</f>
        <v>27</v>
      </c>
    </row>
    <row r="199" customFormat="false" ht="15" hidden="false" customHeight="false" outlineLevel="0" collapsed="false">
      <c r="Q199" s="11" t="n">
        <f aca="false">'Mode d''emploi'!$B$29</f>
        <v>27</v>
      </c>
    </row>
    <row r="200" customFormat="false" ht="15" hidden="false" customHeight="false" outlineLevel="0" collapsed="false">
      <c r="Q200" s="11" t="n">
        <f aca="false">'Mode d''emploi'!$B$29</f>
        <v>27</v>
      </c>
    </row>
    <row r="201" customFormat="false" ht="15" hidden="false" customHeight="false" outlineLevel="0" collapsed="false">
      <c r="Q201" s="11" t="n">
        <f aca="false">'Mode d''emploi'!$B$29</f>
        <v>27</v>
      </c>
    </row>
    <row r="202" customFormat="false" ht="15" hidden="false" customHeight="false" outlineLevel="0" collapsed="false">
      <c r="Q202" s="11" t="n">
        <f aca="false">'Mode d''emploi'!$B$29</f>
        <v>27</v>
      </c>
    </row>
    <row r="203" customFormat="false" ht="15" hidden="false" customHeight="false" outlineLevel="0" collapsed="false">
      <c r="Q203" s="11" t="n">
        <f aca="false">'Mode d''emploi'!$B$29</f>
        <v>27</v>
      </c>
    </row>
    <row r="204" customFormat="false" ht="15" hidden="false" customHeight="false" outlineLevel="0" collapsed="false">
      <c r="Q204" s="11" t="n">
        <f aca="false">'Mode d''emploi'!$B$29</f>
        <v>27</v>
      </c>
    </row>
    <row r="205" customFormat="false" ht="15" hidden="false" customHeight="false" outlineLevel="0" collapsed="false">
      <c r="Q205" s="11" t="n">
        <f aca="false">'Mode d''emploi'!$B$29</f>
        <v>27</v>
      </c>
    </row>
    <row r="206" customFormat="false" ht="15" hidden="false" customHeight="false" outlineLevel="0" collapsed="false">
      <c r="Q206" s="11" t="n">
        <f aca="false">'Mode d''emploi'!$B$29</f>
        <v>27</v>
      </c>
    </row>
    <row r="207" customFormat="false" ht="15" hidden="false" customHeight="false" outlineLevel="0" collapsed="false">
      <c r="Q207" s="11" t="n">
        <f aca="false">'Mode d''emploi'!$B$29</f>
        <v>27</v>
      </c>
    </row>
    <row r="208" customFormat="false" ht="15" hidden="false" customHeight="false" outlineLevel="0" collapsed="false">
      <c r="Q208" s="11" t="n">
        <f aca="false">'Mode d''emploi'!$B$29</f>
        <v>27</v>
      </c>
    </row>
    <row r="209" customFormat="false" ht="15" hidden="false" customHeight="false" outlineLevel="0" collapsed="false">
      <c r="Q209" s="11" t="n">
        <f aca="false">'Mode d''emploi'!$B$29</f>
        <v>27</v>
      </c>
    </row>
    <row r="210" customFormat="false" ht="15" hidden="false" customHeight="false" outlineLevel="0" collapsed="false">
      <c r="Q210" s="11" t="n">
        <f aca="false">'Mode d''emploi'!$B$29</f>
        <v>27</v>
      </c>
    </row>
    <row r="211" customFormat="false" ht="15" hidden="false" customHeight="false" outlineLevel="0" collapsed="false">
      <c r="Q211" s="11" t="n">
        <f aca="false">'Mode d''emploi'!$B$29</f>
        <v>27</v>
      </c>
    </row>
    <row r="212" customFormat="false" ht="15" hidden="false" customHeight="false" outlineLevel="0" collapsed="false">
      <c r="Q212" s="11" t="n">
        <f aca="false">'Mode d''emploi'!$B$29</f>
        <v>27</v>
      </c>
    </row>
    <row r="213" customFormat="false" ht="15" hidden="false" customHeight="false" outlineLevel="0" collapsed="false">
      <c r="Q213" s="11" t="n">
        <f aca="false">'Mode d''emploi'!$B$29</f>
        <v>27</v>
      </c>
    </row>
    <row r="214" customFormat="false" ht="15" hidden="false" customHeight="false" outlineLevel="0" collapsed="false">
      <c r="Q214" s="11" t="n">
        <f aca="false">'Mode d''emploi'!$B$29</f>
        <v>27</v>
      </c>
    </row>
    <row r="215" customFormat="false" ht="15" hidden="false" customHeight="false" outlineLevel="0" collapsed="false">
      <c r="Q215" s="11" t="n">
        <f aca="false">'Mode d''emploi'!$B$29</f>
        <v>27</v>
      </c>
    </row>
    <row r="216" customFormat="false" ht="15" hidden="false" customHeight="false" outlineLevel="0" collapsed="false">
      <c r="Q216" s="11" t="n">
        <f aca="false">'Mode d''emploi'!$B$29</f>
        <v>27</v>
      </c>
    </row>
    <row r="217" customFormat="false" ht="15" hidden="false" customHeight="false" outlineLevel="0" collapsed="false">
      <c r="Q217" s="11" t="n">
        <f aca="false">'Mode d''emploi'!$B$29</f>
        <v>27</v>
      </c>
    </row>
    <row r="218" customFormat="false" ht="15" hidden="false" customHeight="false" outlineLevel="0" collapsed="false">
      <c r="Q218" s="11" t="n">
        <f aca="false">'Mode d''emploi'!$B$29</f>
        <v>27</v>
      </c>
    </row>
    <row r="219" customFormat="false" ht="15" hidden="false" customHeight="false" outlineLevel="0" collapsed="false">
      <c r="Q219" s="11" t="n">
        <f aca="false">'Mode d''emploi'!$B$29</f>
        <v>27</v>
      </c>
    </row>
    <row r="220" customFormat="false" ht="15" hidden="false" customHeight="false" outlineLevel="0" collapsed="false">
      <c r="Q220" s="11" t="n">
        <f aca="false">'Mode d''emploi'!$B$29</f>
        <v>27</v>
      </c>
    </row>
    <row r="221" customFormat="false" ht="15" hidden="false" customHeight="false" outlineLevel="0" collapsed="false">
      <c r="Q221" s="11" t="n">
        <f aca="false">'Mode d''emploi'!$B$29</f>
        <v>27</v>
      </c>
    </row>
    <row r="222" customFormat="false" ht="15" hidden="false" customHeight="false" outlineLevel="0" collapsed="false">
      <c r="Q222" s="11" t="n">
        <f aca="false">'Mode d''emploi'!$B$29</f>
        <v>27</v>
      </c>
    </row>
    <row r="223" customFormat="false" ht="15" hidden="false" customHeight="false" outlineLevel="0" collapsed="false">
      <c r="Q223" s="11" t="n">
        <f aca="false">'Mode d''emploi'!$B$29</f>
        <v>27</v>
      </c>
    </row>
    <row r="224" customFormat="false" ht="15" hidden="false" customHeight="false" outlineLevel="0" collapsed="false">
      <c r="Q224" s="11" t="n">
        <f aca="false">'Mode d''emploi'!$B$29</f>
        <v>27</v>
      </c>
    </row>
    <row r="225" customFormat="false" ht="15" hidden="false" customHeight="false" outlineLevel="0" collapsed="false">
      <c r="Q225" s="11" t="n">
        <f aca="false">'Mode d''emploi'!$B$29</f>
        <v>27</v>
      </c>
    </row>
    <row r="226" customFormat="false" ht="15" hidden="false" customHeight="false" outlineLevel="0" collapsed="false">
      <c r="Q226" s="11" t="n">
        <f aca="false">'Mode d''emploi'!$B$29</f>
        <v>27</v>
      </c>
    </row>
    <row r="227" customFormat="false" ht="15" hidden="false" customHeight="false" outlineLevel="0" collapsed="false">
      <c r="Q227" s="11" t="n">
        <f aca="false">'Mode d''emploi'!$B$29</f>
        <v>27</v>
      </c>
    </row>
    <row r="228" customFormat="false" ht="15" hidden="false" customHeight="false" outlineLevel="0" collapsed="false">
      <c r="Q228" s="11" t="n">
        <f aca="false">'Mode d''emploi'!$B$29</f>
        <v>27</v>
      </c>
    </row>
    <row r="229" customFormat="false" ht="15" hidden="false" customHeight="false" outlineLevel="0" collapsed="false">
      <c r="Q229" s="11" t="n">
        <f aca="false">'Mode d''emploi'!$B$29</f>
        <v>27</v>
      </c>
    </row>
    <row r="230" customFormat="false" ht="15" hidden="false" customHeight="false" outlineLevel="0" collapsed="false">
      <c r="Q230" s="11" t="n">
        <f aca="false">'Mode d''emploi'!$B$29</f>
        <v>27</v>
      </c>
    </row>
    <row r="231" customFormat="false" ht="15" hidden="false" customHeight="false" outlineLevel="0" collapsed="false">
      <c r="Q231" s="11" t="n">
        <f aca="false">'Mode d''emploi'!$B$29</f>
        <v>27</v>
      </c>
    </row>
    <row r="232" customFormat="false" ht="15" hidden="false" customHeight="false" outlineLevel="0" collapsed="false">
      <c r="Q232" s="11" t="n">
        <f aca="false">'Mode d''emploi'!$B$29</f>
        <v>27</v>
      </c>
    </row>
    <row r="233" customFormat="false" ht="15" hidden="false" customHeight="false" outlineLevel="0" collapsed="false">
      <c r="Q233" s="11" t="n">
        <f aca="false">'Mode d''emploi'!$B$29</f>
        <v>27</v>
      </c>
    </row>
    <row r="234" customFormat="false" ht="15" hidden="false" customHeight="false" outlineLevel="0" collapsed="false">
      <c r="Q234" s="11" t="n">
        <f aca="false">'Mode d''emploi'!$B$29</f>
        <v>27</v>
      </c>
    </row>
    <row r="235" customFormat="false" ht="15" hidden="false" customHeight="false" outlineLevel="0" collapsed="false">
      <c r="Q235" s="11" t="n">
        <f aca="false">'Mode d''emploi'!$B$29</f>
        <v>27</v>
      </c>
    </row>
    <row r="236" customFormat="false" ht="15" hidden="false" customHeight="false" outlineLevel="0" collapsed="false">
      <c r="Q236" s="11" t="n">
        <f aca="false">'Mode d''emploi'!$B$29</f>
        <v>27</v>
      </c>
    </row>
    <row r="237" customFormat="false" ht="15" hidden="false" customHeight="false" outlineLevel="0" collapsed="false">
      <c r="Q237" s="11" t="n">
        <f aca="false">'Mode d''emploi'!$B$29</f>
        <v>27</v>
      </c>
    </row>
    <row r="238" customFormat="false" ht="15" hidden="false" customHeight="false" outlineLevel="0" collapsed="false">
      <c r="Q238" s="11" t="n">
        <f aca="false">'Mode d''emploi'!$B$29</f>
        <v>27</v>
      </c>
    </row>
    <row r="239" customFormat="false" ht="15" hidden="false" customHeight="false" outlineLevel="0" collapsed="false">
      <c r="Q239" s="11" t="n">
        <f aca="false">'Mode d''emploi'!$B$29</f>
        <v>27</v>
      </c>
    </row>
    <row r="240" customFormat="false" ht="15" hidden="false" customHeight="false" outlineLevel="0" collapsed="false">
      <c r="Q240" s="11" t="n">
        <f aca="false">'Mode d''emploi'!$B$29</f>
        <v>27</v>
      </c>
    </row>
    <row r="241" customFormat="false" ht="15" hidden="false" customHeight="false" outlineLevel="0" collapsed="false">
      <c r="Q241" s="11" t="n">
        <f aca="false">'Mode d''emploi'!$B$29</f>
        <v>27</v>
      </c>
    </row>
    <row r="242" customFormat="false" ht="15" hidden="false" customHeight="false" outlineLevel="0" collapsed="false">
      <c r="Q242" s="11" t="n">
        <f aca="false">'Mode d''emploi'!$B$29</f>
        <v>27</v>
      </c>
    </row>
    <row r="243" customFormat="false" ht="15" hidden="false" customHeight="false" outlineLevel="0" collapsed="false">
      <c r="Q243" s="11" t="n">
        <f aca="false">'Mode d''emploi'!$B$29</f>
        <v>27</v>
      </c>
    </row>
    <row r="244" customFormat="false" ht="15" hidden="false" customHeight="false" outlineLevel="0" collapsed="false">
      <c r="Q244" s="11" t="n">
        <f aca="false">'Mode d''emploi'!$B$29</f>
        <v>27</v>
      </c>
    </row>
    <row r="245" customFormat="false" ht="15" hidden="false" customHeight="false" outlineLevel="0" collapsed="false">
      <c r="Q245" s="11" t="n">
        <f aca="false">'Mode d''emploi'!$B$29</f>
        <v>27</v>
      </c>
    </row>
    <row r="246" customFormat="false" ht="15" hidden="false" customHeight="false" outlineLevel="0" collapsed="false">
      <c r="Q246" s="11" t="n">
        <f aca="false">'Mode d''emploi'!$B$29</f>
        <v>27</v>
      </c>
    </row>
    <row r="247" customFormat="false" ht="15" hidden="false" customHeight="false" outlineLevel="0" collapsed="false">
      <c r="Q247" s="11" t="n">
        <f aca="false">'Mode d''emploi'!$B$29</f>
        <v>27</v>
      </c>
    </row>
    <row r="248" customFormat="false" ht="15" hidden="false" customHeight="false" outlineLevel="0" collapsed="false">
      <c r="Q248" s="11" t="n">
        <f aca="false">'Mode d''emploi'!$B$29</f>
        <v>27</v>
      </c>
    </row>
    <row r="249" customFormat="false" ht="15" hidden="false" customHeight="false" outlineLevel="0" collapsed="false">
      <c r="Q249" s="11" t="n">
        <f aca="false">'Mode d''emploi'!$B$29</f>
        <v>27</v>
      </c>
    </row>
    <row r="250" customFormat="false" ht="15" hidden="false" customHeight="false" outlineLevel="0" collapsed="false">
      <c r="Q250" s="11" t="n">
        <f aca="false">'Mode d''emploi'!$B$29</f>
        <v>27</v>
      </c>
    </row>
    <row r="251" customFormat="false" ht="15" hidden="false" customHeight="false" outlineLevel="0" collapsed="false">
      <c r="Q251" s="11" t="n">
        <f aca="false">'Mode d''emploi'!$B$29</f>
        <v>27</v>
      </c>
    </row>
    <row r="252" customFormat="false" ht="15" hidden="false" customHeight="false" outlineLevel="0" collapsed="false">
      <c r="Q252" s="11" t="n">
        <f aca="false">'Mode d''emploi'!$B$29</f>
        <v>27</v>
      </c>
    </row>
    <row r="253" customFormat="false" ht="15" hidden="false" customHeight="false" outlineLevel="0" collapsed="false">
      <c r="Q253" s="11" t="n">
        <f aca="false">'Mode d''emploi'!$B$29</f>
        <v>27</v>
      </c>
    </row>
    <row r="254" customFormat="false" ht="15" hidden="false" customHeight="false" outlineLevel="0" collapsed="false">
      <c r="Q254" s="11" t="n">
        <f aca="false">'Mode d''emploi'!$B$29</f>
        <v>27</v>
      </c>
    </row>
    <row r="255" customFormat="false" ht="15" hidden="false" customHeight="false" outlineLevel="0" collapsed="false">
      <c r="Q255" s="11" t="n">
        <f aca="false">'Mode d''emploi'!$B$29</f>
        <v>27</v>
      </c>
    </row>
    <row r="256" customFormat="false" ht="15" hidden="false" customHeight="false" outlineLevel="0" collapsed="false">
      <c r="Q256" s="11" t="n">
        <f aca="false">'Mode d''emploi'!$B$29</f>
        <v>27</v>
      </c>
    </row>
    <row r="257" customFormat="false" ht="15" hidden="false" customHeight="false" outlineLevel="0" collapsed="false">
      <c r="Q257" s="11" t="n">
        <f aca="false">'Mode d''emploi'!$B$29</f>
        <v>27</v>
      </c>
    </row>
    <row r="258" customFormat="false" ht="15" hidden="false" customHeight="false" outlineLevel="0" collapsed="false">
      <c r="Q258" s="11" t="n">
        <f aca="false">'Mode d''emploi'!$B$29</f>
        <v>27</v>
      </c>
    </row>
    <row r="259" customFormat="false" ht="15" hidden="false" customHeight="false" outlineLevel="0" collapsed="false">
      <c r="Q259" s="11" t="n">
        <f aca="false">'Mode d''emploi'!$B$29</f>
        <v>27</v>
      </c>
    </row>
    <row r="260" customFormat="false" ht="15" hidden="false" customHeight="false" outlineLevel="0" collapsed="false">
      <c r="Q260" s="11" t="n">
        <f aca="false">'Mode d''emploi'!$B$29</f>
        <v>27</v>
      </c>
    </row>
    <row r="261" customFormat="false" ht="15" hidden="false" customHeight="false" outlineLevel="0" collapsed="false">
      <c r="Q261" s="11" t="n">
        <f aca="false">'Mode d''emploi'!$B$29</f>
        <v>27</v>
      </c>
    </row>
    <row r="262" customFormat="false" ht="15" hidden="false" customHeight="false" outlineLevel="0" collapsed="false">
      <c r="Q262" s="11" t="n">
        <f aca="false">'Mode d''emploi'!$B$29</f>
        <v>27</v>
      </c>
    </row>
    <row r="263" customFormat="false" ht="15" hidden="false" customHeight="false" outlineLevel="0" collapsed="false">
      <c r="Q263" s="11" t="n">
        <f aca="false">'Mode d''emploi'!$B$29</f>
        <v>27</v>
      </c>
    </row>
    <row r="264" customFormat="false" ht="15" hidden="false" customHeight="false" outlineLevel="0" collapsed="false">
      <c r="Q264" s="11" t="n">
        <f aca="false">'Mode d''emploi'!$B$29</f>
        <v>27</v>
      </c>
    </row>
    <row r="265" customFormat="false" ht="15" hidden="false" customHeight="false" outlineLevel="0" collapsed="false">
      <c r="Q265" s="11" t="n">
        <f aca="false">'Mode d''emploi'!$B$29</f>
        <v>27</v>
      </c>
    </row>
    <row r="266" customFormat="false" ht="15" hidden="false" customHeight="false" outlineLevel="0" collapsed="false">
      <c r="Q266" s="11" t="n">
        <f aca="false">'Mode d''emploi'!$B$29</f>
        <v>27</v>
      </c>
    </row>
    <row r="267" customFormat="false" ht="15" hidden="false" customHeight="false" outlineLevel="0" collapsed="false">
      <c r="Q267" s="11" t="n">
        <f aca="false">'Mode d''emploi'!$B$29</f>
        <v>27</v>
      </c>
    </row>
    <row r="268" customFormat="false" ht="15" hidden="false" customHeight="false" outlineLevel="0" collapsed="false">
      <c r="Q268" s="11" t="n">
        <f aca="false">'Mode d''emploi'!$B$29</f>
        <v>27</v>
      </c>
    </row>
    <row r="269" customFormat="false" ht="15" hidden="false" customHeight="false" outlineLevel="0" collapsed="false">
      <c r="Q269" s="11" t="n">
        <f aca="false">'Mode d''emploi'!$B$29</f>
        <v>27</v>
      </c>
    </row>
    <row r="270" customFormat="false" ht="15" hidden="false" customHeight="false" outlineLevel="0" collapsed="false">
      <c r="Q270" s="11" t="n">
        <f aca="false">'Mode d''emploi'!$B$29</f>
        <v>27</v>
      </c>
    </row>
    <row r="271" customFormat="false" ht="15" hidden="false" customHeight="false" outlineLevel="0" collapsed="false">
      <c r="Q271" s="11" t="n">
        <f aca="false">'Mode d''emploi'!$B$29</f>
        <v>27</v>
      </c>
    </row>
    <row r="272" customFormat="false" ht="15" hidden="false" customHeight="false" outlineLevel="0" collapsed="false">
      <c r="Q272" s="11" t="n">
        <f aca="false">'Mode d''emploi'!$B$29</f>
        <v>27</v>
      </c>
    </row>
    <row r="273" customFormat="false" ht="15" hidden="false" customHeight="false" outlineLevel="0" collapsed="false">
      <c r="Q273" s="11" t="n">
        <f aca="false">'Mode d''emploi'!$B$29</f>
        <v>27</v>
      </c>
    </row>
    <row r="274" customFormat="false" ht="15" hidden="false" customHeight="false" outlineLevel="0" collapsed="false">
      <c r="Q274" s="11" t="n">
        <f aca="false">'Mode d''emploi'!$B$29</f>
        <v>27</v>
      </c>
    </row>
    <row r="275" customFormat="false" ht="15" hidden="false" customHeight="false" outlineLevel="0" collapsed="false">
      <c r="Q275" s="11" t="n">
        <f aca="false">'Mode d''emploi'!$B$29</f>
        <v>27</v>
      </c>
    </row>
    <row r="276" customFormat="false" ht="15" hidden="false" customHeight="false" outlineLevel="0" collapsed="false">
      <c r="Q276" s="11" t="n">
        <f aca="false">'Mode d''emploi'!$B$29</f>
        <v>27</v>
      </c>
    </row>
    <row r="277" customFormat="false" ht="15" hidden="false" customHeight="false" outlineLevel="0" collapsed="false">
      <c r="Q277" s="11" t="n">
        <f aca="false">'Mode d''emploi'!$B$29</f>
        <v>27</v>
      </c>
    </row>
    <row r="278" customFormat="false" ht="15" hidden="false" customHeight="false" outlineLevel="0" collapsed="false">
      <c r="Q278" s="11" t="n">
        <f aca="false">'Mode d''emploi'!$B$29</f>
        <v>27</v>
      </c>
    </row>
    <row r="279" customFormat="false" ht="15" hidden="false" customHeight="false" outlineLevel="0" collapsed="false">
      <c r="Q279" s="11" t="n">
        <f aca="false">'Mode d''emploi'!$B$29</f>
        <v>27</v>
      </c>
    </row>
    <row r="280" customFormat="false" ht="15" hidden="false" customHeight="false" outlineLevel="0" collapsed="false">
      <c r="Q280" s="11" t="n">
        <f aca="false">'Mode d''emploi'!$B$29</f>
        <v>27</v>
      </c>
    </row>
    <row r="281" customFormat="false" ht="15" hidden="false" customHeight="false" outlineLevel="0" collapsed="false">
      <c r="Q281" s="11" t="n">
        <f aca="false">'Mode d''emploi'!$B$29</f>
        <v>27</v>
      </c>
    </row>
    <row r="282" customFormat="false" ht="15" hidden="false" customHeight="false" outlineLevel="0" collapsed="false">
      <c r="Q282" s="11" t="n">
        <f aca="false">'Mode d''emploi'!$B$29</f>
        <v>27</v>
      </c>
    </row>
    <row r="283" customFormat="false" ht="15" hidden="false" customHeight="false" outlineLevel="0" collapsed="false">
      <c r="Q283" s="11" t="n">
        <f aca="false">'Mode d''emploi'!$B$29</f>
        <v>27</v>
      </c>
    </row>
    <row r="284" customFormat="false" ht="15" hidden="false" customHeight="false" outlineLevel="0" collapsed="false">
      <c r="Q284" s="11" t="n">
        <f aca="false">'Mode d''emploi'!$B$29</f>
        <v>27</v>
      </c>
    </row>
    <row r="285" customFormat="false" ht="15" hidden="false" customHeight="false" outlineLevel="0" collapsed="false">
      <c r="Q285" s="11" t="n">
        <f aca="false">'Mode d''emploi'!$B$29</f>
        <v>27</v>
      </c>
    </row>
    <row r="286" customFormat="false" ht="15" hidden="false" customHeight="false" outlineLevel="0" collapsed="false">
      <c r="Q286" s="11" t="n">
        <f aca="false">'Mode d''emploi'!$B$29</f>
        <v>27</v>
      </c>
    </row>
    <row r="287" customFormat="false" ht="15" hidden="false" customHeight="false" outlineLevel="0" collapsed="false">
      <c r="Q287" s="11" t="n">
        <f aca="false">'Mode d''emploi'!$B$29</f>
        <v>27</v>
      </c>
    </row>
    <row r="288" customFormat="false" ht="15" hidden="false" customHeight="false" outlineLevel="0" collapsed="false">
      <c r="Q288" s="11" t="n">
        <f aca="false">'Mode d''emploi'!$B$29</f>
        <v>27</v>
      </c>
    </row>
    <row r="289" customFormat="false" ht="15" hidden="false" customHeight="false" outlineLevel="0" collapsed="false">
      <c r="Q289" s="11" t="n">
        <f aca="false">'Mode d''emploi'!$B$29</f>
        <v>27</v>
      </c>
    </row>
    <row r="290" customFormat="false" ht="15" hidden="false" customHeight="false" outlineLevel="0" collapsed="false">
      <c r="Q290" s="11" t="n">
        <f aca="false">'Mode d''emploi'!$B$29</f>
        <v>27</v>
      </c>
    </row>
    <row r="291" customFormat="false" ht="15" hidden="false" customHeight="false" outlineLevel="0" collapsed="false">
      <c r="Q291" s="11" t="n">
        <f aca="false">'Mode d''emploi'!$B$29</f>
        <v>27</v>
      </c>
    </row>
    <row r="292" customFormat="false" ht="15" hidden="false" customHeight="false" outlineLevel="0" collapsed="false">
      <c r="Q292" s="11" t="n">
        <f aca="false">'Mode d''emploi'!$B$29</f>
        <v>27</v>
      </c>
    </row>
    <row r="293" customFormat="false" ht="15" hidden="false" customHeight="false" outlineLevel="0" collapsed="false">
      <c r="Q293" s="11" t="n">
        <f aca="false">'Mode d''emploi'!$B$29</f>
        <v>27</v>
      </c>
    </row>
    <row r="294" customFormat="false" ht="15" hidden="false" customHeight="false" outlineLevel="0" collapsed="false">
      <c r="Q294" s="11" t="n">
        <f aca="false">'Mode d''emploi'!$B$29</f>
        <v>27</v>
      </c>
    </row>
    <row r="295" customFormat="false" ht="15" hidden="false" customHeight="false" outlineLevel="0" collapsed="false">
      <c r="Q295" s="11" t="n">
        <f aca="false">'Mode d''emploi'!$B$29</f>
        <v>27</v>
      </c>
    </row>
    <row r="296" customFormat="false" ht="15" hidden="false" customHeight="false" outlineLevel="0" collapsed="false">
      <c r="Q296" s="11" t="n">
        <f aca="false">'Mode d''emploi'!$B$29</f>
        <v>27</v>
      </c>
    </row>
    <row r="297" customFormat="false" ht="15" hidden="false" customHeight="false" outlineLevel="0" collapsed="false">
      <c r="Q297" s="11" t="n">
        <f aca="false">'Mode d''emploi'!$B$29</f>
        <v>27</v>
      </c>
    </row>
    <row r="298" customFormat="false" ht="15" hidden="false" customHeight="false" outlineLevel="0" collapsed="false">
      <c r="Q298" s="11" t="n">
        <f aca="false">'Mode d''emploi'!$B$29</f>
        <v>27</v>
      </c>
    </row>
    <row r="299" customFormat="false" ht="15" hidden="false" customHeight="false" outlineLevel="0" collapsed="false">
      <c r="Q299" s="11" t="n">
        <f aca="false">'Mode d''emploi'!$B$29</f>
        <v>27</v>
      </c>
    </row>
    <row r="300" customFormat="false" ht="15" hidden="false" customHeight="false" outlineLevel="0" collapsed="false">
      <c r="Q300" s="11" t="n">
        <f aca="false">'Mode d''emploi'!$B$29</f>
        <v>27</v>
      </c>
    </row>
    <row r="301" customFormat="false" ht="15" hidden="false" customHeight="false" outlineLevel="0" collapsed="false">
      <c r="Q301" s="11" t="n">
        <f aca="false">'Mode d''emploi'!$B$29</f>
        <v>27</v>
      </c>
    </row>
    <row r="302" customFormat="false" ht="15" hidden="false" customHeight="false" outlineLevel="0" collapsed="false">
      <c r="Q302" s="11" t="n">
        <f aca="false">'Mode d''emploi'!$B$29</f>
        <v>27</v>
      </c>
    </row>
    <row r="303" customFormat="false" ht="15" hidden="false" customHeight="false" outlineLevel="0" collapsed="false">
      <c r="Q303" s="11" t="n">
        <f aca="false">'Mode d''emploi'!$B$29</f>
        <v>27</v>
      </c>
    </row>
    <row r="304" customFormat="false" ht="15" hidden="false" customHeight="false" outlineLevel="0" collapsed="false">
      <c r="Q304" s="11" t="n">
        <f aca="false">'Mode d''emploi'!$B$29</f>
        <v>27</v>
      </c>
    </row>
    <row r="305" customFormat="false" ht="15" hidden="false" customHeight="false" outlineLevel="0" collapsed="false">
      <c r="Q305" s="11" t="n">
        <f aca="false">'Mode d''emploi'!$B$29</f>
        <v>27</v>
      </c>
    </row>
    <row r="306" customFormat="false" ht="15" hidden="false" customHeight="false" outlineLevel="0" collapsed="false">
      <c r="Q306" s="11" t="n">
        <f aca="false">'Mode d''emploi'!$B$29</f>
        <v>27</v>
      </c>
    </row>
    <row r="307" customFormat="false" ht="15" hidden="false" customHeight="false" outlineLevel="0" collapsed="false">
      <c r="Q307" s="11" t="n">
        <f aca="false">'Mode d''emploi'!$B$29</f>
        <v>27</v>
      </c>
    </row>
    <row r="308" customFormat="false" ht="15" hidden="false" customHeight="false" outlineLevel="0" collapsed="false">
      <c r="Q308" s="11" t="n">
        <f aca="false">'Mode d''emploi'!$B$29</f>
        <v>27</v>
      </c>
    </row>
    <row r="309" customFormat="false" ht="15" hidden="false" customHeight="false" outlineLevel="0" collapsed="false">
      <c r="Q309" s="11" t="n">
        <f aca="false">'Mode d''emploi'!$B$29</f>
        <v>27</v>
      </c>
    </row>
    <row r="310" customFormat="false" ht="15" hidden="false" customHeight="false" outlineLevel="0" collapsed="false">
      <c r="Q310" s="11" t="n">
        <f aca="false">'Mode d''emploi'!$B$29</f>
        <v>27</v>
      </c>
    </row>
    <row r="311" customFormat="false" ht="15" hidden="false" customHeight="false" outlineLevel="0" collapsed="false">
      <c r="Q311" s="11" t="n">
        <f aca="false">'Mode d''emploi'!$B$29</f>
        <v>27</v>
      </c>
    </row>
    <row r="312" customFormat="false" ht="15" hidden="false" customHeight="false" outlineLevel="0" collapsed="false">
      <c r="Q312" s="11" t="n">
        <f aca="false">'Mode d''emploi'!$B$29</f>
        <v>27</v>
      </c>
    </row>
    <row r="313" customFormat="false" ht="15" hidden="false" customHeight="false" outlineLevel="0" collapsed="false">
      <c r="Q313" s="11" t="n">
        <f aca="false">'Mode d''emploi'!$B$29</f>
        <v>27</v>
      </c>
    </row>
    <row r="314" customFormat="false" ht="15" hidden="false" customHeight="false" outlineLevel="0" collapsed="false">
      <c r="Q314" s="11" t="n">
        <f aca="false">'Mode d''emploi'!$B$29</f>
        <v>27</v>
      </c>
    </row>
    <row r="315" customFormat="false" ht="15" hidden="false" customHeight="false" outlineLevel="0" collapsed="false">
      <c r="Q315" s="11" t="n">
        <f aca="false">'Mode d''emploi'!$B$29</f>
        <v>27</v>
      </c>
    </row>
    <row r="316" customFormat="false" ht="15" hidden="false" customHeight="false" outlineLevel="0" collapsed="false">
      <c r="Q316" s="11" t="n">
        <f aca="false">'Mode d''emploi'!$B$29</f>
        <v>27</v>
      </c>
    </row>
    <row r="317" customFormat="false" ht="15" hidden="false" customHeight="false" outlineLevel="0" collapsed="false">
      <c r="Q317" s="11" t="n">
        <f aca="false">'Mode d''emploi'!$B$29</f>
        <v>27</v>
      </c>
    </row>
    <row r="318" customFormat="false" ht="15" hidden="false" customHeight="false" outlineLevel="0" collapsed="false">
      <c r="Q318" s="11" t="n">
        <f aca="false">'Mode d''emploi'!$B$29</f>
        <v>27</v>
      </c>
    </row>
    <row r="319" customFormat="false" ht="15" hidden="false" customHeight="false" outlineLevel="0" collapsed="false">
      <c r="Q319" s="11" t="n">
        <f aca="false">'Mode d''emploi'!$B$29</f>
        <v>27</v>
      </c>
    </row>
    <row r="320" customFormat="false" ht="15" hidden="false" customHeight="false" outlineLevel="0" collapsed="false">
      <c r="Q320" s="11" t="n">
        <f aca="false">'Mode d''emploi'!$B$29</f>
        <v>27</v>
      </c>
    </row>
    <row r="321" customFormat="false" ht="15" hidden="false" customHeight="false" outlineLevel="0" collapsed="false">
      <c r="Q321" s="11" t="n">
        <f aca="false">'Mode d''emploi'!$B$29</f>
        <v>27</v>
      </c>
    </row>
    <row r="322" customFormat="false" ht="15" hidden="false" customHeight="false" outlineLevel="0" collapsed="false">
      <c r="Q322" s="11" t="n">
        <f aca="false">'Mode d''emploi'!$B$29</f>
        <v>27</v>
      </c>
    </row>
    <row r="323" customFormat="false" ht="15" hidden="false" customHeight="false" outlineLevel="0" collapsed="false">
      <c r="Q323" s="11" t="n">
        <f aca="false">'Mode d''emploi'!$B$29</f>
        <v>27</v>
      </c>
    </row>
    <row r="324" customFormat="false" ht="15" hidden="false" customHeight="false" outlineLevel="0" collapsed="false">
      <c r="Q324" s="11" t="n">
        <f aca="false">'Mode d''emploi'!$B$29</f>
        <v>27</v>
      </c>
    </row>
    <row r="325" customFormat="false" ht="15" hidden="false" customHeight="false" outlineLevel="0" collapsed="false">
      <c r="Q325" s="11" t="n">
        <f aca="false">'Mode d''emploi'!$B$29</f>
        <v>27</v>
      </c>
    </row>
    <row r="326" customFormat="false" ht="15" hidden="false" customHeight="false" outlineLevel="0" collapsed="false">
      <c r="Q326" s="11" t="n">
        <f aca="false">'Mode d''emploi'!$B$29</f>
        <v>27</v>
      </c>
    </row>
    <row r="327" customFormat="false" ht="15" hidden="false" customHeight="false" outlineLevel="0" collapsed="false">
      <c r="Q327" s="11" t="n">
        <f aca="false">'Mode d''emploi'!$B$29</f>
        <v>27</v>
      </c>
    </row>
    <row r="328" customFormat="false" ht="15" hidden="false" customHeight="false" outlineLevel="0" collapsed="false">
      <c r="Q328" s="11" t="n">
        <f aca="false">'Mode d''emploi'!$B$29</f>
        <v>27</v>
      </c>
    </row>
    <row r="329" customFormat="false" ht="15" hidden="false" customHeight="false" outlineLevel="0" collapsed="false">
      <c r="Q329" s="11" t="n">
        <f aca="false">'Mode d''emploi'!$B$29</f>
        <v>27</v>
      </c>
    </row>
    <row r="330" customFormat="false" ht="15" hidden="false" customHeight="false" outlineLevel="0" collapsed="false">
      <c r="Q330" s="11" t="n">
        <f aca="false">'Mode d''emploi'!$B$29</f>
        <v>27</v>
      </c>
    </row>
    <row r="331" customFormat="false" ht="15" hidden="false" customHeight="false" outlineLevel="0" collapsed="false">
      <c r="Q331" s="11" t="n">
        <f aca="false">'Mode d''emploi'!$B$29</f>
        <v>27</v>
      </c>
    </row>
    <row r="332" customFormat="false" ht="15" hidden="false" customHeight="false" outlineLevel="0" collapsed="false">
      <c r="Q332" s="11" t="n">
        <f aca="false">'Mode d''emploi'!$B$29</f>
        <v>27</v>
      </c>
    </row>
    <row r="333" customFormat="false" ht="15" hidden="false" customHeight="false" outlineLevel="0" collapsed="false">
      <c r="Q333" s="11" t="n">
        <f aca="false">'Mode d''emploi'!$B$29</f>
        <v>27</v>
      </c>
    </row>
    <row r="334" customFormat="false" ht="15" hidden="false" customHeight="false" outlineLevel="0" collapsed="false">
      <c r="Q334" s="11" t="n">
        <f aca="false">'Mode d''emploi'!$B$29</f>
        <v>27</v>
      </c>
    </row>
    <row r="335" customFormat="false" ht="15" hidden="false" customHeight="false" outlineLevel="0" collapsed="false">
      <c r="Q335" s="11" t="n">
        <f aca="false">'Mode d''emploi'!$B$29</f>
        <v>27</v>
      </c>
    </row>
    <row r="336" customFormat="false" ht="15" hidden="false" customHeight="false" outlineLevel="0" collapsed="false">
      <c r="Q336" s="11" t="n">
        <f aca="false">'Mode d''emploi'!$B$29</f>
        <v>27</v>
      </c>
    </row>
    <row r="337" customFormat="false" ht="15" hidden="false" customHeight="false" outlineLevel="0" collapsed="false">
      <c r="Q337" s="11" t="n">
        <f aca="false">'Mode d''emploi'!$B$29</f>
        <v>27</v>
      </c>
    </row>
    <row r="338" customFormat="false" ht="15" hidden="false" customHeight="false" outlineLevel="0" collapsed="false">
      <c r="Q338" s="11" t="n">
        <f aca="false">'Mode d''emploi'!$B$29</f>
        <v>27</v>
      </c>
    </row>
    <row r="339" customFormat="false" ht="15" hidden="false" customHeight="false" outlineLevel="0" collapsed="false">
      <c r="Q339" s="11" t="n">
        <f aca="false">'Mode d''emploi'!$B$29</f>
        <v>27</v>
      </c>
    </row>
    <row r="340" customFormat="false" ht="15" hidden="false" customHeight="false" outlineLevel="0" collapsed="false">
      <c r="Q340" s="11" t="n">
        <f aca="false">'Mode d''emploi'!$B$29</f>
        <v>27</v>
      </c>
    </row>
    <row r="341" customFormat="false" ht="15" hidden="false" customHeight="false" outlineLevel="0" collapsed="false">
      <c r="Q341" s="11" t="n">
        <f aca="false">'Mode d''emploi'!$B$29</f>
        <v>27</v>
      </c>
    </row>
    <row r="342" customFormat="false" ht="15" hidden="false" customHeight="false" outlineLevel="0" collapsed="false">
      <c r="Q342" s="11" t="n">
        <f aca="false">'Mode d''emploi'!$B$29</f>
        <v>27</v>
      </c>
    </row>
    <row r="343" customFormat="false" ht="15" hidden="false" customHeight="false" outlineLevel="0" collapsed="false">
      <c r="Q343" s="11" t="n">
        <f aca="false">'Mode d''emploi'!$B$29</f>
        <v>27</v>
      </c>
    </row>
    <row r="344" customFormat="false" ht="15" hidden="false" customHeight="false" outlineLevel="0" collapsed="false">
      <c r="Q344" s="11" t="n">
        <f aca="false">'Mode d''emploi'!$B$29</f>
        <v>27</v>
      </c>
    </row>
    <row r="345" customFormat="false" ht="15" hidden="false" customHeight="false" outlineLevel="0" collapsed="false">
      <c r="Q345" s="11" t="n">
        <f aca="false">'Mode d''emploi'!$B$29</f>
        <v>27</v>
      </c>
    </row>
    <row r="346" customFormat="false" ht="15" hidden="false" customHeight="false" outlineLevel="0" collapsed="false">
      <c r="Q346" s="11" t="n">
        <f aca="false">'Mode d''emploi'!$B$29</f>
        <v>27</v>
      </c>
    </row>
    <row r="347" customFormat="false" ht="15" hidden="false" customHeight="false" outlineLevel="0" collapsed="false">
      <c r="Q347" s="11" t="n">
        <f aca="false">'Mode d''emploi'!$B$29</f>
        <v>27</v>
      </c>
    </row>
    <row r="348" customFormat="false" ht="15" hidden="false" customHeight="false" outlineLevel="0" collapsed="false">
      <c r="Q348" s="11" t="n">
        <f aca="false">'Mode d''emploi'!$B$29</f>
        <v>27</v>
      </c>
    </row>
    <row r="349" customFormat="false" ht="15" hidden="false" customHeight="false" outlineLevel="0" collapsed="false">
      <c r="Q349" s="11" t="n">
        <f aca="false">'Mode d''emploi'!$B$29</f>
        <v>27</v>
      </c>
    </row>
    <row r="350" customFormat="false" ht="15" hidden="false" customHeight="false" outlineLevel="0" collapsed="false">
      <c r="Q350" s="11" t="n">
        <f aca="false">'Mode d''emploi'!$B$29</f>
        <v>27</v>
      </c>
    </row>
    <row r="351" customFormat="false" ht="15" hidden="false" customHeight="false" outlineLevel="0" collapsed="false">
      <c r="Q351" s="11" t="n">
        <f aca="false">'Mode d''emploi'!$B$29</f>
        <v>27</v>
      </c>
    </row>
    <row r="352" customFormat="false" ht="15" hidden="false" customHeight="false" outlineLevel="0" collapsed="false">
      <c r="Q352" s="11" t="n">
        <f aca="false">'Mode d''emploi'!$B$29</f>
        <v>27</v>
      </c>
    </row>
    <row r="353" customFormat="false" ht="15" hidden="false" customHeight="false" outlineLevel="0" collapsed="false">
      <c r="Q353" s="11" t="n">
        <f aca="false">'Mode d''emploi'!$B$29</f>
        <v>27</v>
      </c>
    </row>
    <row r="354" customFormat="false" ht="15" hidden="false" customHeight="false" outlineLevel="0" collapsed="false">
      <c r="Q354" s="11" t="n">
        <f aca="false">'Mode d''emploi'!$B$29</f>
        <v>27</v>
      </c>
    </row>
    <row r="355" customFormat="false" ht="15" hidden="false" customHeight="false" outlineLevel="0" collapsed="false">
      <c r="Q355" s="11" t="n">
        <f aca="false">'Mode d''emploi'!$B$29</f>
        <v>27</v>
      </c>
    </row>
    <row r="356" customFormat="false" ht="15" hidden="false" customHeight="false" outlineLevel="0" collapsed="false">
      <c r="Q356" s="11" t="n">
        <f aca="false">'Mode d''emploi'!$B$29</f>
        <v>27</v>
      </c>
    </row>
    <row r="357" customFormat="false" ht="15" hidden="false" customHeight="false" outlineLevel="0" collapsed="false">
      <c r="Q357" s="11" t="n">
        <f aca="false">'Mode d''emploi'!$B$29</f>
        <v>27</v>
      </c>
    </row>
    <row r="358" customFormat="false" ht="15" hidden="false" customHeight="false" outlineLevel="0" collapsed="false">
      <c r="Q358" s="11" t="n">
        <f aca="false">'Mode d''emploi'!$B$29</f>
        <v>27</v>
      </c>
    </row>
    <row r="359" customFormat="false" ht="15" hidden="false" customHeight="false" outlineLevel="0" collapsed="false">
      <c r="Q359" s="11" t="n">
        <f aca="false">'Mode d''emploi'!$B$29</f>
        <v>27</v>
      </c>
    </row>
    <row r="360" customFormat="false" ht="15" hidden="false" customHeight="false" outlineLevel="0" collapsed="false">
      <c r="Q360" s="11" t="n">
        <f aca="false">'Mode d''emploi'!$B$29</f>
        <v>27</v>
      </c>
    </row>
    <row r="361" customFormat="false" ht="15" hidden="false" customHeight="false" outlineLevel="0" collapsed="false">
      <c r="Q361" s="11" t="n">
        <f aca="false">'Mode d''emploi'!$B$29</f>
        <v>27</v>
      </c>
    </row>
    <row r="362" customFormat="false" ht="15" hidden="false" customHeight="false" outlineLevel="0" collapsed="false">
      <c r="Q362" s="11" t="n">
        <f aca="false">'Mode d''emploi'!$B$29</f>
        <v>27</v>
      </c>
    </row>
    <row r="363" customFormat="false" ht="15" hidden="false" customHeight="false" outlineLevel="0" collapsed="false">
      <c r="Q363" s="11" t="n">
        <f aca="false">'Mode d''emploi'!$B$29</f>
        <v>27</v>
      </c>
    </row>
    <row r="364" customFormat="false" ht="15" hidden="false" customHeight="false" outlineLevel="0" collapsed="false">
      <c r="Q364" s="11" t="n">
        <f aca="false">'Mode d''emploi'!$B$29</f>
        <v>27</v>
      </c>
    </row>
    <row r="365" customFormat="false" ht="15" hidden="false" customHeight="false" outlineLevel="0" collapsed="false">
      <c r="Q365" s="11" t="n">
        <f aca="false">'Mode d''emploi'!$B$29</f>
        <v>27</v>
      </c>
    </row>
    <row r="366" customFormat="false" ht="15" hidden="false" customHeight="false" outlineLevel="0" collapsed="false">
      <c r="Q366" s="11" t="n">
        <f aca="false">'Mode d''emploi'!$B$29</f>
        <v>27</v>
      </c>
    </row>
    <row r="367" customFormat="false" ht="15" hidden="false" customHeight="false" outlineLevel="0" collapsed="false">
      <c r="Q367" s="11" t="n">
        <f aca="false">'Mode d''emploi'!$B$29</f>
        <v>27</v>
      </c>
    </row>
    <row r="368" customFormat="false" ht="15" hidden="false" customHeight="false" outlineLevel="0" collapsed="false">
      <c r="Q368" s="11" t="n">
        <f aca="false">'Mode d''emploi'!$B$29</f>
        <v>27</v>
      </c>
    </row>
    <row r="369" customFormat="false" ht="15" hidden="false" customHeight="false" outlineLevel="0" collapsed="false">
      <c r="Q369" s="11" t="n">
        <f aca="false">'Mode d''emploi'!$B$29</f>
        <v>27</v>
      </c>
    </row>
    <row r="370" customFormat="false" ht="15" hidden="false" customHeight="false" outlineLevel="0" collapsed="false">
      <c r="Q370" s="11" t="n">
        <f aca="false">'Mode d''emploi'!$B$29</f>
        <v>27</v>
      </c>
    </row>
    <row r="371" customFormat="false" ht="15" hidden="false" customHeight="false" outlineLevel="0" collapsed="false">
      <c r="Q371" s="11" t="n">
        <f aca="false">'Mode d''emploi'!$B$29</f>
        <v>27</v>
      </c>
    </row>
    <row r="372" customFormat="false" ht="15" hidden="false" customHeight="false" outlineLevel="0" collapsed="false">
      <c r="Q372" s="11" t="n">
        <f aca="false">'Mode d''emploi'!$B$29</f>
        <v>27</v>
      </c>
    </row>
    <row r="373" customFormat="false" ht="15" hidden="false" customHeight="false" outlineLevel="0" collapsed="false">
      <c r="Q373" s="11" t="n">
        <f aca="false">'Mode d''emploi'!$B$29</f>
        <v>27</v>
      </c>
    </row>
    <row r="374" customFormat="false" ht="15" hidden="false" customHeight="false" outlineLevel="0" collapsed="false">
      <c r="Q374" s="11" t="n">
        <f aca="false">'Mode d''emploi'!$B$29</f>
        <v>27</v>
      </c>
    </row>
    <row r="375" customFormat="false" ht="15" hidden="false" customHeight="false" outlineLevel="0" collapsed="false">
      <c r="Q375" s="11" t="n">
        <f aca="false">'Mode d''emploi'!$B$29</f>
        <v>27</v>
      </c>
    </row>
    <row r="376" customFormat="false" ht="15" hidden="false" customHeight="false" outlineLevel="0" collapsed="false">
      <c r="Q376" s="11" t="n">
        <f aca="false">'Mode d''emploi'!$B$29</f>
        <v>27</v>
      </c>
    </row>
    <row r="377" customFormat="false" ht="15" hidden="false" customHeight="false" outlineLevel="0" collapsed="false">
      <c r="Q377" s="11" t="n">
        <f aca="false">'Mode d''emploi'!$B$29</f>
        <v>27</v>
      </c>
    </row>
    <row r="378" customFormat="false" ht="15" hidden="false" customHeight="false" outlineLevel="0" collapsed="false">
      <c r="Q378" s="11" t="n">
        <f aca="false">'Mode d''emploi'!$B$29</f>
        <v>27</v>
      </c>
    </row>
    <row r="379" customFormat="false" ht="15" hidden="false" customHeight="false" outlineLevel="0" collapsed="false">
      <c r="Q379" s="11" t="n">
        <f aca="false">'Mode d''emploi'!$B$29</f>
        <v>27</v>
      </c>
    </row>
    <row r="380" customFormat="false" ht="15" hidden="false" customHeight="false" outlineLevel="0" collapsed="false">
      <c r="Q380" s="11" t="n">
        <f aca="false">'Mode d''emploi'!$B$29</f>
        <v>27</v>
      </c>
    </row>
    <row r="381" customFormat="false" ht="15" hidden="false" customHeight="false" outlineLevel="0" collapsed="false">
      <c r="Q381" s="11" t="n">
        <f aca="false">'Mode d''emploi'!$B$29</f>
        <v>27</v>
      </c>
    </row>
    <row r="382" customFormat="false" ht="15" hidden="false" customHeight="false" outlineLevel="0" collapsed="false">
      <c r="Q382" s="11" t="n">
        <f aca="false">'Mode d''emploi'!$B$29</f>
        <v>27</v>
      </c>
    </row>
    <row r="383" customFormat="false" ht="15" hidden="false" customHeight="false" outlineLevel="0" collapsed="false">
      <c r="Q383" s="11" t="n">
        <f aca="false">'Mode d''emploi'!$B$29</f>
        <v>27</v>
      </c>
    </row>
    <row r="384" customFormat="false" ht="15" hidden="false" customHeight="false" outlineLevel="0" collapsed="false">
      <c r="Q384" s="11" t="n">
        <f aca="false">'Mode d''emploi'!$B$29</f>
        <v>27</v>
      </c>
    </row>
    <row r="385" customFormat="false" ht="15" hidden="false" customHeight="false" outlineLevel="0" collapsed="false">
      <c r="Q385" s="11" t="n">
        <f aca="false">'Mode d''emploi'!$B$29</f>
        <v>27</v>
      </c>
    </row>
    <row r="386" customFormat="false" ht="15" hidden="false" customHeight="false" outlineLevel="0" collapsed="false">
      <c r="Q386" s="11" t="n">
        <f aca="false">'Mode d''emploi'!$B$29</f>
        <v>27</v>
      </c>
    </row>
    <row r="387" customFormat="false" ht="15" hidden="false" customHeight="false" outlineLevel="0" collapsed="false">
      <c r="Q387" s="11" t="n">
        <f aca="false">'Mode d''emploi'!$B$29</f>
        <v>27</v>
      </c>
    </row>
    <row r="388" customFormat="false" ht="15" hidden="false" customHeight="false" outlineLevel="0" collapsed="false">
      <c r="Q388" s="11" t="n">
        <f aca="false">'Mode d''emploi'!$B$29</f>
        <v>27</v>
      </c>
    </row>
    <row r="389" customFormat="false" ht="15" hidden="false" customHeight="false" outlineLevel="0" collapsed="false">
      <c r="Q389" s="11" t="n">
        <f aca="false">'Mode d''emploi'!$B$29</f>
        <v>27</v>
      </c>
    </row>
    <row r="390" customFormat="false" ht="15" hidden="false" customHeight="false" outlineLevel="0" collapsed="false">
      <c r="Q390" s="11" t="n">
        <f aca="false">'Mode d''emploi'!$B$29</f>
        <v>27</v>
      </c>
    </row>
    <row r="391" customFormat="false" ht="15" hidden="false" customHeight="false" outlineLevel="0" collapsed="false">
      <c r="Q391" s="11" t="n">
        <f aca="false">'Mode d''emploi'!$B$29</f>
        <v>27</v>
      </c>
    </row>
    <row r="392" customFormat="false" ht="15" hidden="false" customHeight="false" outlineLevel="0" collapsed="false">
      <c r="Q392" s="11" t="n">
        <f aca="false">'Mode d''emploi'!$B$29</f>
        <v>27</v>
      </c>
    </row>
    <row r="393" customFormat="false" ht="15" hidden="false" customHeight="false" outlineLevel="0" collapsed="false">
      <c r="Q393" s="11" t="n">
        <f aca="false">'Mode d''emploi'!$B$29</f>
        <v>27</v>
      </c>
    </row>
    <row r="394" customFormat="false" ht="15" hidden="false" customHeight="false" outlineLevel="0" collapsed="false">
      <c r="Q394" s="11" t="n">
        <f aca="false">'Mode d''emploi'!$B$29</f>
        <v>27</v>
      </c>
    </row>
    <row r="395" customFormat="false" ht="15" hidden="false" customHeight="false" outlineLevel="0" collapsed="false">
      <c r="Q395" s="11" t="n">
        <f aca="false">'Mode d''emploi'!$B$29</f>
        <v>27</v>
      </c>
    </row>
    <row r="396" customFormat="false" ht="15" hidden="false" customHeight="false" outlineLevel="0" collapsed="false">
      <c r="Q396" s="11" t="n">
        <f aca="false">'Mode d''emploi'!$B$29</f>
        <v>27</v>
      </c>
    </row>
    <row r="397" customFormat="false" ht="15" hidden="false" customHeight="false" outlineLevel="0" collapsed="false">
      <c r="Q397" s="11" t="n">
        <f aca="false">'Mode d''emploi'!$B$29</f>
        <v>27</v>
      </c>
    </row>
    <row r="398" customFormat="false" ht="15" hidden="false" customHeight="false" outlineLevel="0" collapsed="false">
      <c r="Q398" s="11" t="n">
        <f aca="false">'Mode d''emploi'!$B$29</f>
        <v>27</v>
      </c>
    </row>
    <row r="399" customFormat="false" ht="15" hidden="false" customHeight="false" outlineLevel="0" collapsed="false">
      <c r="Q399" s="11" t="n">
        <f aca="false">'Mode d''emploi'!$B$29</f>
        <v>27</v>
      </c>
    </row>
    <row r="400" customFormat="false" ht="15" hidden="false" customHeight="false" outlineLevel="0" collapsed="false">
      <c r="Q400" s="11" t="n">
        <f aca="false">'Mode d''emploi'!$B$29</f>
        <v>27</v>
      </c>
    </row>
  </sheetData>
  <autoFilter ref="A1:Q400"/>
  <dataValidations count="2">
    <dataValidation allowBlank="true" error="Choisissez un statut dans la liste." errorStyle="stop" errorTitle="Statut" operator="between" showDropDown="false" showErrorMessage="true" showInputMessage="false" sqref="L2:L400" type="list">
      <formula1>"À contacter,Contacté,Intéressé,Échantillon / visite,Devis envoyé,Vendu,Pas intéressé"</formula1>
      <formula2>0</formula2>
    </dataValidation>
    <dataValidation allowBlank="true" error="Entrez un nombre de m² (sans « m² »), 0 ou plus." errorStyle="stop" errorTitle="m² vendus" operator="greaterThanOrEqual" showDropDown="false" showErrorMessage="tru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4" t="s">
        <v>911</v>
      </c>
      <c r="B1" s="14" t="s">
        <v>912</v>
      </c>
      <c r="C1" s="14" t="s">
        <v>913</v>
      </c>
      <c r="D1" s="14" t="s">
        <v>914</v>
      </c>
      <c r="E1" s="14" t="s">
        <v>915</v>
      </c>
      <c r="F1" s="14" t="s">
        <v>916</v>
      </c>
      <c r="G1" s="14" t="s">
        <v>917</v>
      </c>
      <c r="H1" s="14" t="s">
        <v>918</v>
      </c>
    </row>
    <row r="2" customFormat="false" ht="68.65" hidden="false" customHeight="false" outlineLevel="0" collapsed="false">
      <c r="A2" s="25" t="s">
        <v>919</v>
      </c>
      <c r="B2" s="17" t="s">
        <v>920</v>
      </c>
      <c r="C2" s="17" t="s">
        <v>921</v>
      </c>
      <c r="D2" s="17" t="s">
        <v>922</v>
      </c>
      <c r="E2" s="17" t="s">
        <v>923</v>
      </c>
      <c r="F2" s="17" t="s">
        <v>924</v>
      </c>
      <c r="G2" s="18" t="s">
        <v>925</v>
      </c>
      <c r="H2" s="20"/>
    </row>
    <row r="3" customFormat="false" ht="46.25" hidden="false" customHeight="false" outlineLevel="0" collapsed="false">
      <c r="A3" s="25" t="s">
        <v>926</v>
      </c>
      <c r="B3" s="17" t="s">
        <v>927</v>
      </c>
      <c r="C3" s="17" t="s">
        <v>928</v>
      </c>
      <c r="D3" s="17" t="s">
        <v>929</v>
      </c>
      <c r="E3" s="17" t="s">
        <v>930</v>
      </c>
      <c r="F3" s="17" t="s">
        <v>931</v>
      </c>
      <c r="G3" s="18" t="s">
        <v>925</v>
      </c>
      <c r="H3" s="20"/>
    </row>
    <row r="4" customFormat="false" ht="35.05" hidden="false" customHeight="false" outlineLevel="0" collapsed="false">
      <c r="A4" s="25" t="s">
        <v>932</v>
      </c>
      <c r="B4" s="17" t="s">
        <v>927</v>
      </c>
      <c r="C4" s="17" t="s">
        <v>933</v>
      </c>
      <c r="D4" s="17" t="s">
        <v>934</v>
      </c>
      <c r="E4" s="17" t="s">
        <v>935</v>
      </c>
      <c r="F4" s="17" t="s">
        <v>936</v>
      </c>
      <c r="G4" s="18" t="s">
        <v>925</v>
      </c>
      <c r="H4" s="20"/>
    </row>
    <row r="5" customFormat="false" ht="23.85" hidden="false" customHeight="false" outlineLevel="0" collapsed="false">
      <c r="A5" s="25" t="s">
        <v>937</v>
      </c>
      <c r="B5" s="17" t="s">
        <v>927</v>
      </c>
      <c r="C5" s="17" t="s">
        <v>938</v>
      </c>
      <c r="D5" s="17" t="s">
        <v>939</v>
      </c>
      <c r="E5" s="17" t="s">
        <v>940</v>
      </c>
      <c r="F5" s="17" t="s">
        <v>941</v>
      </c>
      <c r="G5" s="18" t="s">
        <v>925</v>
      </c>
      <c r="H5" s="20"/>
    </row>
    <row r="6" customFormat="false" ht="46.25" hidden="false" customHeight="false" outlineLevel="0" collapsed="false">
      <c r="A6" s="25" t="s">
        <v>942</v>
      </c>
      <c r="B6" s="17" t="s">
        <v>920</v>
      </c>
      <c r="C6" s="17" t="s">
        <v>943</v>
      </c>
      <c r="D6" s="17" t="s">
        <v>944</v>
      </c>
      <c r="E6" s="17" t="s">
        <v>945</v>
      </c>
      <c r="F6" s="17" t="s">
        <v>946</v>
      </c>
      <c r="G6" s="18" t="s">
        <v>925</v>
      </c>
      <c r="H6" s="20"/>
    </row>
    <row r="7" customFormat="false" ht="35.05" hidden="false" customHeight="false" outlineLevel="0" collapsed="false">
      <c r="A7" s="25" t="s">
        <v>947</v>
      </c>
      <c r="B7" s="17" t="s">
        <v>948</v>
      </c>
      <c r="C7" s="17" t="s">
        <v>949</v>
      </c>
      <c r="D7" s="17" t="s">
        <v>950</v>
      </c>
      <c r="E7" s="17" t="s">
        <v>951</v>
      </c>
      <c r="F7" s="17" t="s">
        <v>952</v>
      </c>
      <c r="G7" s="18" t="s">
        <v>925</v>
      </c>
      <c r="H7" s="20"/>
    </row>
    <row r="8" customFormat="false" ht="57.45" hidden="false" customHeight="false" outlineLevel="0" collapsed="false">
      <c r="A8" s="25" t="s">
        <v>953</v>
      </c>
      <c r="B8" s="17" t="s">
        <v>948</v>
      </c>
      <c r="C8" s="17" t="s">
        <v>954</v>
      </c>
      <c r="D8" s="17" t="s">
        <v>955</v>
      </c>
      <c r="E8" s="17" t="s">
        <v>956</v>
      </c>
      <c r="F8" s="17" t="s">
        <v>931</v>
      </c>
      <c r="G8" s="17"/>
      <c r="H8" s="20"/>
    </row>
    <row r="9" customFormat="false" ht="35.05" hidden="false" customHeight="false" outlineLevel="0" collapsed="false">
      <c r="A9" s="25" t="s">
        <v>957</v>
      </c>
      <c r="B9" s="17" t="s">
        <v>958</v>
      </c>
      <c r="C9" s="17" t="s">
        <v>959</v>
      </c>
      <c r="D9" s="17" t="s">
        <v>960</v>
      </c>
      <c r="E9" s="17" t="s">
        <v>961</v>
      </c>
      <c r="F9" s="17" t="s">
        <v>931</v>
      </c>
      <c r="G9" s="18" t="s">
        <v>925</v>
      </c>
      <c r="H9" s="20"/>
    </row>
    <row r="10" customFormat="false" ht="35.05" hidden="false" customHeight="false" outlineLevel="0" collapsed="false">
      <c r="A10" s="25" t="s">
        <v>962</v>
      </c>
      <c r="B10" s="17" t="s">
        <v>958</v>
      </c>
      <c r="C10" s="17" t="s">
        <v>959</v>
      </c>
      <c r="D10" s="17" t="s">
        <v>960</v>
      </c>
      <c r="E10" s="17" t="s">
        <v>963</v>
      </c>
      <c r="F10" s="17" t="s">
        <v>931</v>
      </c>
      <c r="G10" s="18" t="s">
        <v>925</v>
      </c>
      <c r="H10" s="20"/>
    </row>
    <row r="11" customFormat="false" ht="35.05" hidden="false" customHeight="false" outlineLevel="0" collapsed="false">
      <c r="A11" s="25" t="s">
        <v>964</v>
      </c>
      <c r="B11" s="17" t="s">
        <v>958</v>
      </c>
      <c r="C11" s="17" t="s">
        <v>959</v>
      </c>
      <c r="D11" s="17" t="s">
        <v>960</v>
      </c>
      <c r="E11" s="17" t="s">
        <v>965</v>
      </c>
      <c r="F11" s="17" t="s">
        <v>931</v>
      </c>
      <c r="G11" s="18" t="s">
        <v>925</v>
      </c>
      <c r="H11" s="20"/>
    </row>
    <row r="12" customFormat="false" ht="35.05" hidden="false" customHeight="false" outlineLevel="0" collapsed="false">
      <c r="A12" s="25" t="s">
        <v>966</v>
      </c>
      <c r="B12" s="17" t="s">
        <v>958</v>
      </c>
      <c r="C12" s="17" t="s">
        <v>959</v>
      </c>
      <c r="D12" s="17" t="s">
        <v>960</v>
      </c>
      <c r="E12" s="17" t="s">
        <v>967</v>
      </c>
      <c r="F12" s="17" t="s">
        <v>931</v>
      </c>
      <c r="G12" s="18" t="s">
        <v>925</v>
      </c>
      <c r="H12" s="20"/>
    </row>
    <row r="13" customFormat="false" ht="35.05" hidden="false" customHeight="false" outlineLevel="0" collapsed="false">
      <c r="A13" s="25" t="s">
        <v>968</v>
      </c>
      <c r="B13" s="17" t="s">
        <v>958</v>
      </c>
      <c r="C13" s="17" t="s">
        <v>969</v>
      </c>
      <c r="D13" s="17" t="s">
        <v>960</v>
      </c>
      <c r="E13" s="17" t="s">
        <v>970</v>
      </c>
      <c r="F13" s="17" t="s">
        <v>931</v>
      </c>
      <c r="G13" s="18" t="s">
        <v>925</v>
      </c>
      <c r="H13" s="20"/>
    </row>
    <row r="14" customFormat="false" ht="35.05" hidden="false" customHeight="false" outlineLevel="0" collapsed="false">
      <c r="A14" s="25" t="s">
        <v>971</v>
      </c>
      <c r="B14" s="17" t="s">
        <v>958</v>
      </c>
      <c r="C14" s="17" t="s">
        <v>972</v>
      </c>
      <c r="D14" s="17" t="s">
        <v>960</v>
      </c>
      <c r="E14" s="17" t="s">
        <v>973</v>
      </c>
      <c r="F14" s="17" t="s">
        <v>931</v>
      </c>
      <c r="G14" s="18" t="s">
        <v>925</v>
      </c>
      <c r="H14" s="20"/>
    </row>
    <row r="15" customFormat="false" ht="23.85" hidden="false" customHeight="false" outlineLevel="0" collapsed="false">
      <c r="A15" s="25" t="s">
        <v>974</v>
      </c>
      <c r="B15" s="17" t="s">
        <v>958</v>
      </c>
      <c r="C15" s="17" t="s">
        <v>975</v>
      </c>
      <c r="D15" s="17" t="s">
        <v>960</v>
      </c>
      <c r="E15" s="17" t="s">
        <v>976</v>
      </c>
      <c r="F15" s="17" t="s">
        <v>931</v>
      </c>
      <c r="G15" s="18" t="s">
        <v>925</v>
      </c>
      <c r="H15" s="20"/>
    </row>
    <row r="16" customFormat="false" ht="35.05" hidden="false" customHeight="false" outlineLevel="0" collapsed="false">
      <c r="A16" s="25" t="s">
        <v>977</v>
      </c>
      <c r="B16" s="17" t="s">
        <v>978</v>
      </c>
      <c r="C16" s="17" t="s">
        <v>979</v>
      </c>
      <c r="D16" s="17" t="s">
        <v>960</v>
      </c>
      <c r="E16" s="17" t="s">
        <v>980</v>
      </c>
      <c r="F16" s="17" t="s">
        <v>931</v>
      </c>
      <c r="G16" s="18" t="s">
        <v>925</v>
      </c>
      <c r="H16" s="20"/>
    </row>
    <row r="17" customFormat="false" ht="35.05" hidden="false" customHeight="false" outlineLevel="0" collapsed="false">
      <c r="A17" s="25" t="s">
        <v>981</v>
      </c>
      <c r="B17" s="17" t="s">
        <v>982</v>
      </c>
      <c r="C17" s="17" t="s">
        <v>983</v>
      </c>
      <c r="D17" s="17" t="s">
        <v>984</v>
      </c>
      <c r="E17" s="17" t="s">
        <v>985</v>
      </c>
      <c r="F17" s="17" t="s">
        <v>986</v>
      </c>
      <c r="G17" s="18" t="s">
        <v>925</v>
      </c>
      <c r="H17" s="20"/>
    </row>
    <row r="18" customFormat="false" ht="46.25" hidden="false" customHeight="false" outlineLevel="0" collapsed="false">
      <c r="A18" s="25" t="s">
        <v>987</v>
      </c>
      <c r="B18" s="17" t="s">
        <v>982</v>
      </c>
      <c r="C18" s="17" t="s">
        <v>988</v>
      </c>
      <c r="D18" s="17" t="s">
        <v>989</v>
      </c>
      <c r="E18" s="17" t="s">
        <v>990</v>
      </c>
      <c r="F18" s="17" t="s">
        <v>986</v>
      </c>
      <c r="G18" s="18" t="s">
        <v>925</v>
      </c>
      <c r="H18" s="20"/>
    </row>
    <row r="19" customFormat="false" ht="35.05" hidden="false" customHeight="false" outlineLevel="0" collapsed="false">
      <c r="A19" s="25" t="s">
        <v>991</v>
      </c>
      <c r="B19" s="17" t="s">
        <v>982</v>
      </c>
      <c r="C19" s="17" t="s">
        <v>992</v>
      </c>
      <c r="D19" s="17" t="s">
        <v>993</v>
      </c>
      <c r="E19" s="17" t="s">
        <v>994</v>
      </c>
      <c r="F19" s="17" t="s">
        <v>986</v>
      </c>
      <c r="G19" s="18" t="s">
        <v>925</v>
      </c>
      <c r="H19" s="20"/>
    </row>
    <row r="20" customFormat="false" ht="23.85" hidden="false" customHeight="false" outlineLevel="0" collapsed="false">
      <c r="A20" s="25" t="s">
        <v>995</v>
      </c>
      <c r="B20" s="17" t="s">
        <v>996</v>
      </c>
      <c r="C20" s="17" t="s">
        <v>997</v>
      </c>
      <c r="D20" s="17" t="s">
        <v>998</v>
      </c>
      <c r="E20" s="17" t="s">
        <v>999</v>
      </c>
      <c r="F20" s="17" t="s">
        <v>986</v>
      </c>
      <c r="G20" s="18" t="s">
        <v>925</v>
      </c>
      <c r="H20" s="20"/>
    </row>
    <row r="21" customFormat="false" ht="35.05" hidden="false" customHeight="false" outlineLevel="0" collapsed="false">
      <c r="A21" s="25" t="s">
        <v>1000</v>
      </c>
      <c r="B21" s="17" t="s">
        <v>1001</v>
      </c>
      <c r="C21" s="17" t="s">
        <v>1002</v>
      </c>
      <c r="D21" s="17" t="s">
        <v>1003</v>
      </c>
      <c r="E21" s="17" t="s">
        <v>1004</v>
      </c>
      <c r="F21" s="17" t="s">
        <v>1005</v>
      </c>
      <c r="G21" s="18" t="s">
        <v>925</v>
      </c>
      <c r="H21" s="20"/>
    </row>
    <row r="22" customFormat="false" ht="35.05" hidden="false" customHeight="false" outlineLevel="0" collapsed="false">
      <c r="A22" s="25" t="s">
        <v>1006</v>
      </c>
      <c r="B22" s="17" t="s">
        <v>1001</v>
      </c>
      <c r="C22" s="17" t="s">
        <v>1007</v>
      </c>
      <c r="D22" s="17" t="s">
        <v>1008</v>
      </c>
      <c r="E22" s="17" t="s">
        <v>1009</v>
      </c>
      <c r="F22" s="17" t="s">
        <v>1010</v>
      </c>
      <c r="G22" s="18" t="s">
        <v>925</v>
      </c>
      <c r="H22" s="20"/>
    </row>
    <row r="23" customFormat="false" ht="23.85" hidden="false" customHeight="false" outlineLevel="0" collapsed="false">
      <c r="A23" s="25" t="s">
        <v>1011</v>
      </c>
      <c r="B23" s="17" t="s">
        <v>1001</v>
      </c>
      <c r="C23" s="17" t="s">
        <v>1012</v>
      </c>
      <c r="D23" s="17" t="s">
        <v>1013</v>
      </c>
      <c r="E23" s="17" t="s">
        <v>1014</v>
      </c>
      <c r="F23" s="17" t="s">
        <v>986</v>
      </c>
      <c r="G23" s="18" t="s">
        <v>925</v>
      </c>
      <c r="H23" s="20"/>
    </row>
    <row r="24" customFormat="false" ht="23.85" hidden="false" customHeight="false" outlineLevel="0" collapsed="false">
      <c r="A24" s="25" t="s">
        <v>1015</v>
      </c>
      <c r="B24" s="17" t="s">
        <v>1001</v>
      </c>
      <c r="C24" s="17" t="s">
        <v>1016</v>
      </c>
      <c r="D24" s="17" t="s">
        <v>939</v>
      </c>
      <c r="E24" s="17" t="s">
        <v>1017</v>
      </c>
      <c r="F24" s="17" t="s">
        <v>1018</v>
      </c>
      <c r="G24" s="18" t="s">
        <v>925</v>
      </c>
      <c r="H24" s="20"/>
    </row>
    <row r="25" customFormat="false" ht="23.85" hidden="false" customHeight="false" outlineLevel="0" collapsed="false">
      <c r="A25" s="25" t="s">
        <v>1019</v>
      </c>
      <c r="B25" s="17" t="s">
        <v>1001</v>
      </c>
      <c r="C25" s="17" t="s">
        <v>1020</v>
      </c>
      <c r="D25" s="17" t="s">
        <v>1021</v>
      </c>
      <c r="E25" s="17" t="s">
        <v>1022</v>
      </c>
      <c r="F25" s="17" t="s">
        <v>1023</v>
      </c>
      <c r="G25" s="18" t="s">
        <v>925</v>
      </c>
      <c r="H25" s="20"/>
    </row>
    <row r="26" customFormat="false" ht="35.05" hidden="false" customHeight="false" outlineLevel="0" collapsed="false">
      <c r="A26" s="25" t="s">
        <v>1024</v>
      </c>
      <c r="B26" s="17" t="s">
        <v>1025</v>
      </c>
      <c r="C26" s="17" t="s">
        <v>1026</v>
      </c>
      <c r="D26" s="17" t="s">
        <v>1027</v>
      </c>
      <c r="E26" s="17" t="s">
        <v>1028</v>
      </c>
      <c r="F26" s="17" t="s">
        <v>986</v>
      </c>
      <c r="G26" s="18" t="s">
        <v>925</v>
      </c>
      <c r="H26" s="20"/>
    </row>
    <row r="27" customFormat="false" ht="46.25" hidden="false" customHeight="false" outlineLevel="0" collapsed="false">
      <c r="A27" s="25" t="s">
        <v>1029</v>
      </c>
      <c r="B27" s="17" t="s">
        <v>996</v>
      </c>
      <c r="C27" s="17" t="s">
        <v>1030</v>
      </c>
      <c r="D27" s="17" t="s">
        <v>1031</v>
      </c>
      <c r="E27" s="17" t="s">
        <v>1032</v>
      </c>
      <c r="F27" s="17" t="s">
        <v>1033</v>
      </c>
      <c r="G27" s="18" t="s">
        <v>925</v>
      </c>
      <c r="H27" s="20"/>
    </row>
    <row r="28" customFormat="false" ht="35.05" hidden="false" customHeight="false" outlineLevel="0" collapsed="false">
      <c r="A28" s="25" t="s">
        <v>1034</v>
      </c>
      <c r="B28" s="17" t="s">
        <v>996</v>
      </c>
      <c r="C28" s="17" t="s">
        <v>1035</v>
      </c>
      <c r="D28" s="17" t="s">
        <v>1036</v>
      </c>
      <c r="E28" s="17" t="s">
        <v>1037</v>
      </c>
      <c r="F28" s="17" t="s">
        <v>1038</v>
      </c>
      <c r="G28" s="18" t="s">
        <v>925</v>
      </c>
      <c r="H28" s="20"/>
    </row>
    <row r="29" customFormat="false" ht="35.05" hidden="false" customHeight="false" outlineLevel="0" collapsed="false">
      <c r="A29" s="25" t="s">
        <v>1039</v>
      </c>
      <c r="B29" s="17" t="s">
        <v>996</v>
      </c>
      <c r="C29" s="17" t="s">
        <v>1040</v>
      </c>
      <c r="D29" s="17" t="s">
        <v>1041</v>
      </c>
      <c r="E29" s="17" t="s">
        <v>1042</v>
      </c>
      <c r="F29" s="17" t="s">
        <v>1038</v>
      </c>
      <c r="G29" s="18" t="s">
        <v>925</v>
      </c>
      <c r="H29" s="20"/>
    </row>
    <row r="30" customFormat="false" ht="23.85" hidden="false" customHeight="false" outlineLevel="0" collapsed="false">
      <c r="A30" s="25" t="s">
        <v>1043</v>
      </c>
      <c r="B30" s="17" t="s">
        <v>996</v>
      </c>
      <c r="C30" s="17" t="s">
        <v>1044</v>
      </c>
      <c r="D30" s="17" t="s">
        <v>1045</v>
      </c>
      <c r="E30" s="17" t="s">
        <v>1046</v>
      </c>
      <c r="F30" s="17" t="s">
        <v>1047</v>
      </c>
      <c r="G30" s="18" t="s">
        <v>925</v>
      </c>
      <c r="H30" s="20"/>
    </row>
    <row r="31" customFormat="false" ht="35.05" hidden="false" customHeight="false" outlineLevel="0" collapsed="false">
      <c r="A31" s="25" t="s">
        <v>1048</v>
      </c>
      <c r="B31" s="17" t="s">
        <v>996</v>
      </c>
      <c r="C31" s="17" t="s">
        <v>1049</v>
      </c>
      <c r="D31" s="17" t="s">
        <v>1050</v>
      </c>
      <c r="E31" s="17" t="s">
        <v>1051</v>
      </c>
      <c r="F31" s="17" t="s">
        <v>1052</v>
      </c>
      <c r="G31" s="18" t="s">
        <v>925</v>
      </c>
      <c r="H31" s="20"/>
    </row>
    <row r="32" customFormat="false" ht="35.05" hidden="false" customHeight="false" outlineLevel="0" collapsed="false">
      <c r="A32" s="25" t="s">
        <v>1053</v>
      </c>
      <c r="B32" s="17" t="s">
        <v>927</v>
      </c>
      <c r="C32" s="17" t="s">
        <v>1054</v>
      </c>
      <c r="D32" s="17" t="s">
        <v>1055</v>
      </c>
      <c r="E32" s="17" t="s">
        <v>1056</v>
      </c>
      <c r="F32" s="17" t="s">
        <v>1057</v>
      </c>
      <c r="G32" s="18" t="s">
        <v>925</v>
      </c>
      <c r="H32" s="20"/>
    </row>
    <row r="33" customFormat="false" ht="35.05" hidden="false" customHeight="false" outlineLevel="0" collapsed="false">
      <c r="A33" s="25" t="s">
        <v>1058</v>
      </c>
      <c r="B33" s="17" t="s">
        <v>927</v>
      </c>
      <c r="C33" s="17" t="s">
        <v>1059</v>
      </c>
      <c r="D33" s="17" t="s">
        <v>1060</v>
      </c>
      <c r="E33" s="17" t="s">
        <v>1061</v>
      </c>
      <c r="F33" s="17" t="s">
        <v>986</v>
      </c>
      <c r="G33" s="18" t="s">
        <v>925</v>
      </c>
      <c r="H33" s="20"/>
    </row>
    <row r="34" customFormat="false" ht="23.85" hidden="false" customHeight="false" outlineLevel="0" collapsed="false">
      <c r="A34" s="25" t="s">
        <v>1062</v>
      </c>
      <c r="B34" s="17" t="s">
        <v>927</v>
      </c>
      <c r="C34" s="17" t="s">
        <v>1063</v>
      </c>
      <c r="D34" s="17" t="s">
        <v>1064</v>
      </c>
      <c r="E34" s="17" t="s">
        <v>1065</v>
      </c>
      <c r="F34" s="17" t="s">
        <v>1066</v>
      </c>
      <c r="G34" s="18" t="s">
        <v>925</v>
      </c>
      <c r="H34" s="20"/>
    </row>
    <row r="35" customFormat="false" ht="68.65" hidden="false" customHeight="false" outlineLevel="0" collapsed="false">
      <c r="A35" s="25" t="s">
        <v>1067</v>
      </c>
      <c r="B35" s="17" t="s">
        <v>1025</v>
      </c>
      <c r="C35" s="17" t="s">
        <v>1068</v>
      </c>
      <c r="D35" s="17" t="s">
        <v>1069</v>
      </c>
      <c r="E35" s="17" t="s">
        <v>1070</v>
      </c>
      <c r="F35" s="17" t="s">
        <v>1071</v>
      </c>
      <c r="G35" s="18" t="s">
        <v>925</v>
      </c>
      <c r="H35" s="20"/>
    </row>
    <row r="36" customFormat="false" ht="35.05" hidden="false" customHeight="false" outlineLevel="0" collapsed="false">
      <c r="A36" s="25" t="s">
        <v>1072</v>
      </c>
      <c r="B36" s="17" t="s">
        <v>920</v>
      </c>
      <c r="C36" s="17" t="s">
        <v>1073</v>
      </c>
      <c r="D36" s="17" t="s">
        <v>64</v>
      </c>
      <c r="E36" s="17" t="s">
        <v>1074</v>
      </c>
      <c r="F36" s="17" t="s">
        <v>986</v>
      </c>
      <c r="G36" s="18" t="s">
        <v>925</v>
      </c>
      <c r="H36" s="20"/>
    </row>
    <row r="37" customFormat="false" ht="35.05" hidden="false" customHeight="false" outlineLevel="0" collapsed="false">
      <c r="A37" s="25" t="s">
        <v>1075</v>
      </c>
      <c r="B37" s="17" t="s">
        <v>1001</v>
      </c>
      <c r="C37" s="17" t="s">
        <v>1076</v>
      </c>
      <c r="D37" s="17" t="s">
        <v>64</v>
      </c>
      <c r="E37" s="17" t="s">
        <v>1077</v>
      </c>
      <c r="F37" s="17" t="s">
        <v>1078</v>
      </c>
      <c r="G37" s="18" t="s">
        <v>925</v>
      </c>
      <c r="H37" s="20"/>
    </row>
    <row r="38" customFormat="false" ht="46.25" hidden="false" customHeight="false" outlineLevel="0" collapsed="false">
      <c r="A38" s="25" t="s">
        <v>1079</v>
      </c>
      <c r="B38" s="17" t="s">
        <v>1001</v>
      </c>
      <c r="C38" s="17" t="s">
        <v>1080</v>
      </c>
      <c r="D38" s="17" t="s">
        <v>1081</v>
      </c>
      <c r="E38" s="17" t="s">
        <v>1082</v>
      </c>
      <c r="F38" s="17" t="s">
        <v>1078</v>
      </c>
      <c r="G38" s="18" t="s">
        <v>925</v>
      </c>
      <c r="H38" s="20"/>
    </row>
    <row r="39" customFormat="false" ht="35.05" hidden="false" customHeight="false" outlineLevel="0" collapsed="false">
      <c r="A39" s="25" t="s">
        <v>1083</v>
      </c>
      <c r="B39" s="17" t="s">
        <v>1001</v>
      </c>
      <c r="C39" s="17" t="s">
        <v>1084</v>
      </c>
      <c r="D39" s="17" t="s">
        <v>64</v>
      </c>
      <c r="E39" s="17" t="s">
        <v>1085</v>
      </c>
      <c r="F39" s="17" t="s">
        <v>1086</v>
      </c>
      <c r="G39" s="18" t="s">
        <v>925</v>
      </c>
      <c r="H39" s="20"/>
    </row>
    <row r="40" customFormat="false" ht="46.25" hidden="false" customHeight="false" outlineLevel="0" collapsed="false">
      <c r="A40" s="25" t="s">
        <v>1087</v>
      </c>
      <c r="B40" s="17" t="s">
        <v>1001</v>
      </c>
      <c r="C40" s="17" t="s">
        <v>1088</v>
      </c>
      <c r="D40" s="17" t="s">
        <v>1089</v>
      </c>
      <c r="E40" s="17" t="s">
        <v>1090</v>
      </c>
      <c r="F40" s="17" t="s">
        <v>1078</v>
      </c>
      <c r="G40" s="18" t="s">
        <v>925</v>
      </c>
      <c r="H40" s="20"/>
    </row>
    <row r="41" customFormat="false" ht="23.85" hidden="false" customHeight="false" outlineLevel="0" collapsed="false">
      <c r="A41" s="25" t="s">
        <v>1091</v>
      </c>
      <c r="B41" s="17" t="s">
        <v>1092</v>
      </c>
      <c r="C41" s="17" t="s">
        <v>1093</v>
      </c>
      <c r="D41" s="17" t="s">
        <v>1094</v>
      </c>
      <c r="E41" s="17" t="s">
        <v>1095</v>
      </c>
      <c r="F41" s="17" t="s">
        <v>1096</v>
      </c>
      <c r="G41" s="18" t="s">
        <v>925</v>
      </c>
      <c r="H41" s="20"/>
    </row>
    <row r="43" customFormat="false" ht="15" hidden="false" customHeight="false" outlineLevel="0" collapsed="false">
      <c r="A43" s="6" t="s">
        <v>1097</v>
      </c>
    </row>
    <row r="44" customFormat="false" ht="27.75" hidden="false" customHeight="true" outlineLevel="0" collapsed="false">
      <c r="A44" s="2" t="s">
        <v>1098</v>
      </c>
      <c r="B44" s="2"/>
      <c r="C44" s="2"/>
      <c r="D44" s="2"/>
      <c r="E44" s="2"/>
      <c r="F44" s="2"/>
    </row>
    <row r="45" customFormat="false" ht="27.75" hidden="false" customHeight="true" outlineLevel="0" collapsed="false">
      <c r="A45" s="2" t="s">
        <v>1099</v>
      </c>
      <c r="B45" s="2"/>
      <c r="C45" s="2"/>
      <c r="D45" s="2"/>
      <c r="E45" s="2"/>
      <c r="F45" s="2"/>
    </row>
    <row r="46" customFormat="false" ht="27.75" hidden="false" customHeight="true" outlineLevel="0" collapsed="false">
      <c r="A46" s="2" t="s">
        <v>1100</v>
      </c>
      <c r="B46" s="2"/>
      <c r="C46" s="2"/>
      <c r="D46" s="2"/>
      <c r="E46" s="2"/>
      <c r="F46" s="2"/>
    </row>
    <row r="47" customFormat="false" ht="27.75" hidden="false" customHeight="true" outlineLevel="0" collapsed="false">
      <c r="A47" s="2" t="s">
        <v>1101</v>
      </c>
      <c r="B47" s="2"/>
      <c r="C47" s="2"/>
      <c r="D47" s="2"/>
      <c r="E47" s="2"/>
      <c r="F47" s="2"/>
    </row>
    <row r="48" customFormat="false" ht="27.75" hidden="false" customHeight="true" outlineLevel="0" collapsed="false">
      <c r="A48" s="2" t="s">
        <v>1102</v>
      </c>
      <c r="B48" s="2"/>
      <c r="C48" s="2"/>
      <c r="D48" s="2"/>
      <c r="E48" s="2"/>
      <c r="F48" s="2"/>
    </row>
    <row r="49" customFormat="false" ht="27.75" hidden="false" customHeight="true" outlineLevel="0" collapsed="false">
      <c r="A49" s="2" t="s">
        <v>1103</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5"/>
    <col collapsed="false" customWidth="true" hidden="false" outlineLevel="0" max="4" min="4" style="0" width="36"/>
    <col collapsed="false" customWidth="true" hidden="false" outlineLevel="0" max="5" min="5" style="0" width="30"/>
    <col collapsed="false" customWidth="true" hidden="false" outlineLevel="0" max="6" min="6" style="0" width="16"/>
    <col collapsed="false" customWidth="true" hidden="false" outlineLevel="0" max="7" min="7" style="0" width="18"/>
    <col collapsed="false" customWidth="true" hidden="false" outlineLevel="0" max="8" min="8" style="0" width="16"/>
    <col collapsed="false" customWidth="true" hidden="false" outlineLevel="0" max="9" min="9" style="0" width="13"/>
    <col collapsed="false" customWidth="true" hidden="false" outlineLevel="0" max="10" min="10" style="0" width="50"/>
    <col collapsed="false" customWidth="true" hidden="false" outlineLevel="0" max="11" min="11" style="0" width="9"/>
    <col collapsed="false" customWidth="true" hidden="false" outlineLevel="0" max="12" min="12" style="0" width="12"/>
    <col collapsed="false" customWidth="true" hidden="false" outlineLevel="0" max="13" min="13" style="0" width="14"/>
    <col collapsed="false" customWidth="true" hidden="false" outlineLevel="0" max="14" min="14" style="0" width="28"/>
  </cols>
  <sheetData>
    <row r="1" customFormat="false" ht="30" hidden="false" customHeight="true" outlineLevel="0" collapsed="false">
      <c r="A1" s="14" t="s">
        <v>1104</v>
      </c>
      <c r="B1" s="14" t="s">
        <v>1105</v>
      </c>
      <c r="C1" s="14" t="s">
        <v>1106</v>
      </c>
      <c r="D1" s="14" t="s">
        <v>1107</v>
      </c>
      <c r="E1" s="14" t="s">
        <v>1108</v>
      </c>
      <c r="F1" s="14" t="s">
        <v>1109</v>
      </c>
      <c r="G1" s="14" t="s">
        <v>1110</v>
      </c>
      <c r="H1" s="14" t="s">
        <v>1111</v>
      </c>
      <c r="I1" s="14" t="s">
        <v>1112</v>
      </c>
      <c r="J1" s="14" t="s">
        <v>1113</v>
      </c>
      <c r="K1" s="14" t="s">
        <v>917</v>
      </c>
      <c r="L1" s="14" t="s">
        <v>1114</v>
      </c>
      <c r="M1" s="14" t="s">
        <v>8</v>
      </c>
      <c r="N1" s="14" t="s">
        <v>14</v>
      </c>
    </row>
    <row r="2" customFormat="false" ht="57.45" hidden="false" customHeight="false" outlineLevel="0" collapsed="false">
      <c r="A2" s="15" t="s">
        <v>1115</v>
      </c>
      <c r="B2" s="15" t="s">
        <v>1116</v>
      </c>
      <c r="C2" s="15" t="s">
        <v>1117</v>
      </c>
      <c r="D2" s="16" t="s">
        <v>1118</v>
      </c>
      <c r="E2" s="15" t="s">
        <v>1119</v>
      </c>
      <c r="F2" s="15" t="s">
        <v>1120</v>
      </c>
      <c r="G2" s="15" t="s">
        <v>1121</v>
      </c>
      <c r="H2" s="15" t="s">
        <v>1122</v>
      </c>
      <c r="I2" s="15" t="s">
        <v>1123</v>
      </c>
      <c r="J2" s="15" t="s">
        <v>1124</v>
      </c>
      <c r="K2" s="18" t="s">
        <v>925</v>
      </c>
      <c r="L2" s="20"/>
      <c r="M2" s="19" t="s">
        <v>1125</v>
      </c>
      <c r="N2" s="19"/>
    </row>
    <row r="3" customFormat="false" ht="57.45" hidden="false" customHeight="false" outlineLevel="0" collapsed="false">
      <c r="A3" s="15" t="s">
        <v>1115</v>
      </c>
      <c r="B3" s="15" t="s">
        <v>1116</v>
      </c>
      <c r="C3" s="15" t="s">
        <v>1117</v>
      </c>
      <c r="D3" s="16" t="s">
        <v>1126</v>
      </c>
      <c r="E3" s="15" t="s">
        <v>1127</v>
      </c>
      <c r="F3" s="15" t="s">
        <v>1128</v>
      </c>
      <c r="G3" s="15" t="s">
        <v>1121</v>
      </c>
      <c r="H3" s="15" t="s">
        <v>1129</v>
      </c>
      <c r="I3" s="15" t="s">
        <v>1130</v>
      </c>
      <c r="J3" s="15" t="s">
        <v>1131</v>
      </c>
      <c r="K3" s="18" t="s">
        <v>925</v>
      </c>
      <c r="L3" s="20"/>
      <c r="M3" s="19" t="s">
        <v>1125</v>
      </c>
      <c r="N3" s="19"/>
    </row>
    <row r="4" customFormat="false" ht="57.45" hidden="false" customHeight="false" outlineLevel="0" collapsed="false">
      <c r="A4" s="15" t="s">
        <v>1115</v>
      </c>
      <c r="B4" s="15" t="s">
        <v>1116</v>
      </c>
      <c r="C4" s="15" t="s">
        <v>1132</v>
      </c>
      <c r="D4" s="16" t="s">
        <v>1133</v>
      </c>
      <c r="E4" s="15" t="s">
        <v>1134</v>
      </c>
      <c r="F4" s="15" t="s">
        <v>1135</v>
      </c>
      <c r="G4" s="15" t="s">
        <v>1121</v>
      </c>
      <c r="H4" s="15" t="s">
        <v>1136</v>
      </c>
      <c r="I4" s="15" t="s">
        <v>1137</v>
      </c>
      <c r="J4" s="15" t="s">
        <v>1138</v>
      </c>
      <c r="K4" s="18" t="s">
        <v>925</v>
      </c>
      <c r="L4" s="20"/>
      <c r="M4" s="19" t="s">
        <v>1125</v>
      </c>
      <c r="N4" s="19"/>
    </row>
    <row r="5" customFormat="false" ht="46.25" hidden="false" customHeight="false" outlineLevel="0" collapsed="false">
      <c r="A5" s="15" t="s">
        <v>1115</v>
      </c>
      <c r="B5" s="15" t="s">
        <v>1139</v>
      </c>
      <c r="C5" s="15" t="s">
        <v>1140</v>
      </c>
      <c r="D5" s="16" t="s">
        <v>1141</v>
      </c>
      <c r="E5" s="15" t="s">
        <v>1142</v>
      </c>
      <c r="F5" s="15" t="s">
        <v>1143</v>
      </c>
      <c r="G5" s="15" t="s">
        <v>1144</v>
      </c>
      <c r="H5" s="15" t="s">
        <v>1145</v>
      </c>
      <c r="I5" s="15"/>
      <c r="J5" s="15" t="s">
        <v>1146</v>
      </c>
      <c r="K5" s="18" t="s">
        <v>925</v>
      </c>
      <c r="L5" s="20"/>
      <c r="M5" s="19" t="s">
        <v>1125</v>
      </c>
      <c r="N5" s="19"/>
    </row>
    <row r="6" customFormat="false" ht="57.45" hidden="false" customHeight="false" outlineLevel="0" collapsed="false">
      <c r="A6" s="15" t="s">
        <v>1115</v>
      </c>
      <c r="B6" s="15" t="s">
        <v>1139</v>
      </c>
      <c r="C6" s="15" t="s">
        <v>1140</v>
      </c>
      <c r="D6" s="16" t="s">
        <v>1147</v>
      </c>
      <c r="E6" s="15" t="s">
        <v>1148</v>
      </c>
      <c r="F6" s="15" t="s">
        <v>1149</v>
      </c>
      <c r="G6" s="15"/>
      <c r="H6" s="15" t="s">
        <v>1150</v>
      </c>
      <c r="I6" s="15"/>
      <c r="J6" s="15" t="s">
        <v>1151</v>
      </c>
      <c r="K6" s="18" t="s">
        <v>925</v>
      </c>
      <c r="L6" s="20"/>
      <c r="M6" s="19" t="s">
        <v>1125</v>
      </c>
      <c r="N6" s="19"/>
    </row>
    <row r="7" customFormat="false" ht="57.45" hidden="false" customHeight="false" outlineLevel="0" collapsed="false">
      <c r="A7" s="23" t="s">
        <v>1152</v>
      </c>
      <c r="B7" s="23" t="s">
        <v>1116</v>
      </c>
      <c r="C7" s="23" t="s">
        <v>1117</v>
      </c>
      <c r="D7" s="24" t="s">
        <v>1153</v>
      </c>
      <c r="E7" s="23" t="s">
        <v>1154</v>
      </c>
      <c r="F7" s="23" t="s">
        <v>1155</v>
      </c>
      <c r="G7" s="23" t="s">
        <v>1121</v>
      </c>
      <c r="H7" s="23" t="s">
        <v>939</v>
      </c>
      <c r="I7" s="23" t="s">
        <v>1156</v>
      </c>
      <c r="J7" s="23" t="s">
        <v>1157</v>
      </c>
      <c r="K7" s="18" t="s">
        <v>925</v>
      </c>
      <c r="L7" s="20"/>
      <c r="M7" s="19" t="s">
        <v>1125</v>
      </c>
      <c r="N7" s="19"/>
    </row>
    <row r="8" customFormat="false" ht="46.25" hidden="false" customHeight="false" outlineLevel="0" collapsed="false">
      <c r="A8" s="23" t="s">
        <v>1152</v>
      </c>
      <c r="B8" s="23" t="s">
        <v>1116</v>
      </c>
      <c r="C8" s="23" t="s">
        <v>1158</v>
      </c>
      <c r="D8" s="24" t="s">
        <v>1159</v>
      </c>
      <c r="E8" s="23" t="s">
        <v>1160</v>
      </c>
      <c r="F8" s="23" t="s">
        <v>1161</v>
      </c>
      <c r="G8" s="23" t="s">
        <v>1162</v>
      </c>
      <c r="H8" s="23" t="s">
        <v>1163</v>
      </c>
      <c r="I8" s="23" t="s">
        <v>1164</v>
      </c>
      <c r="J8" s="23" t="s">
        <v>1165</v>
      </c>
      <c r="K8" s="18" t="s">
        <v>925</v>
      </c>
      <c r="L8" s="20"/>
      <c r="M8" s="19" t="s">
        <v>1125</v>
      </c>
      <c r="N8" s="19"/>
    </row>
    <row r="9" customFormat="false" ht="46.25" hidden="false" customHeight="false" outlineLevel="0" collapsed="false">
      <c r="A9" s="23" t="s">
        <v>1152</v>
      </c>
      <c r="B9" s="23" t="s">
        <v>1116</v>
      </c>
      <c r="C9" s="23" t="s">
        <v>1158</v>
      </c>
      <c r="D9" s="24" t="s">
        <v>1166</v>
      </c>
      <c r="E9" s="23" t="s">
        <v>1167</v>
      </c>
      <c r="F9" s="23" t="s">
        <v>1161</v>
      </c>
      <c r="G9" s="23" t="s">
        <v>1121</v>
      </c>
      <c r="H9" s="23" t="s">
        <v>939</v>
      </c>
      <c r="I9" s="23" t="s">
        <v>1168</v>
      </c>
      <c r="J9" s="23" t="s">
        <v>1169</v>
      </c>
      <c r="K9" s="18" t="s">
        <v>925</v>
      </c>
      <c r="L9" s="20"/>
      <c r="M9" s="19" t="s">
        <v>1125</v>
      </c>
      <c r="N9" s="19"/>
    </row>
    <row r="10" customFormat="false" ht="46.25" hidden="false" customHeight="false" outlineLevel="0" collapsed="false">
      <c r="A10" s="23" t="s">
        <v>1152</v>
      </c>
      <c r="B10" s="23" t="s">
        <v>1116</v>
      </c>
      <c r="C10" s="23" t="s">
        <v>1158</v>
      </c>
      <c r="D10" s="24" t="s">
        <v>1170</v>
      </c>
      <c r="E10" s="23" t="s">
        <v>1171</v>
      </c>
      <c r="F10" s="23" t="s">
        <v>1161</v>
      </c>
      <c r="G10" s="23" t="s">
        <v>1162</v>
      </c>
      <c r="H10" s="23" t="s">
        <v>1172</v>
      </c>
      <c r="I10" s="23" t="s">
        <v>1173</v>
      </c>
      <c r="J10" s="23" t="s">
        <v>1174</v>
      </c>
      <c r="K10" s="18" t="s">
        <v>925</v>
      </c>
      <c r="L10" s="20"/>
      <c r="M10" s="19" t="s">
        <v>1125</v>
      </c>
      <c r="N10" s="19"/>
    </row>
    <row r="11" customFormat="false" ht="57.45" hidden="false" customHeight="false" outlineLevel="0" collapsed="false">
      <c r="A11" s="23" t="s">
        <v>1152</v>
      </c>
      <c r="B11" s="23" t="s">
        <v>1116</v>
      </c>
      <c r="C11" s="23" t="s">
        <v>1117</v>
      </c>
      <c r="D11" s="24" t="s">
        <v>1175</v>
      </c>
      <c r="E11" s="23" t="s">
        <v>1176</v>
      </c>
      <c r="F11" s="23" t="s">
        <v>1120</v>
      </c>
      <c r="G11" s="23" t="s">
        <v>1177</v>
      </c>
      <c r="H11" s="23" t="s">
        <v>1163</v>
      </c>
      <c r="I11" s="23" t="s">
        <v>1178</v>
      </c>
      <c r="J11" s="23" t="s">
        <v>1179</v>
      </c>
      <c r="K11" s="18" t="s">
        <v>925</v>
      </c>
      <c r="L11" s="20"/>
      <c r="M11" s="19" t="s">
        <v>1125</v>
      </c>
      <c r="N11" s="19"/>
    </row>
    <row r="12" customFormat="false" ht="35.05" hidden="false" customHeight="false" outlineLevel="0" collapsed="false">
      <c r="A12" s="23" t="s">
        <v>1152</v>
      </c>
      <c r="B12" s="23" t="s">
        <v>1116</v>
      </c>
      <c r="C12" s="23" t="s">
        <v>1117</v>
      </c>
      <c r="D12" s="24" t="s">
        <v>1180</v>
      </c>
      <c r="E12" s="23" t="s">
        <v>1181</v>
      </c>
      <c r="F12" s="23" t="s">
        <v>1120</v>
      </c>
      <c r="G12" s="23" t="s">
        <v>1121</v>
      </c>
      <c r="H12" s="23" t="s">
        <v>1182</v>
      </c>
      <c r="I12" s="23" t="s">
        <v>1183</v>
      </c>
      <c r="J12" s="23" t="s">
        <v>1184</v>
      </c>
      <c r="K12" s="18" t="s">
        <v>925</v>
      </c>
      <c r="L12" s="20"/>
      <c r="M12" s="19" t="s">
        <v>1125</v>
      </c>
      <c r="N12" s="19"/>
    </row>
    <row r="13" customFormat="false" ht="35.05" hidden="false" customHeight="false" outlineLevel="0" collapsed="false">
      <c r="A13" s="23" t="s">
        <v>1152</v>
      </c>
      <c r="B13" s="23" t="s">
        <v>1116</v>
      </c>
      <c r="C13" s="23" t="s">
        <v>1117</v>
      </c>
      <c r="D13" s="24" t="s">
        <v>1185</v>
      </c>
      <c r="E13" s="23" t="s">
        <v>1186</v>
      </c>
      <c r="F13" s="23" t="s">
        <v>1120</v>
      </c>
      <c r="G13" s="23" t="s">
        <v>1121</v>
      </c>
      <c r="H13" s="23" t="s">
        <v>1187</v>
      </c>
      <c r="I13" s="23" t="s">
        <v>1188</v>
      </c>
      <c r="J13" s="23" t="s">
        <v>1189</v>
      </c>
      <c r="K13" s="18" t="s">
        <v>925</v>
      </c>
      <c r="L13" s="20"/>
      <c r="M13" s="19" t="s">
        <v>1125</v>
      </c>
      <c r="N13" s="19"/>
    </row>
    <row r="14" customFormat="false" ht="35.05" hidden="false" customHeight="false" outlineLevel="0" collapsed="false">
      <c r="A14" s="23" t="s">
        <v>1152</v>
      </c>
      <c r="B14" s="23" t="s">
        <v>1116</v>
      </c>
      <c r="C14" s="23" t="s">
        <v>1117</v>
      </c>
      <c r="D14" s="24" t="s">
        <v>1190</v>
      </c>
      <c r="E14" s="23" t="s">
        <v>1191</v>
      </c>
      <c r="F14" s="23" t="s">
        <v>1120</v>
      </c>
      <c r="G14" s="23" t="s">
        <v>1192</v>
      </c>
      <c r="H14" s="23" t="s">
        <v>1193</v>
      </c>
      <c r="I14" s="23" t="s">
        <v>1194</v>
      </c>
      <c r="J14" s="23" t="s">
        <v>1195</v>
      </c>
      <c r="K14" s="18" t="s">
        <v>925</v>
      </c>
      <c r="L14" s="20"/>
      <c r="M14" s="19" t="s">
        <v>1125</v>
      </c>
      <c r="N14" s="19"/>
    </row>
    <row r="15" customFormat="false" ht="35.05" hidden="false" customHeight="false" outlineLevel="0" collapsed="false">
      <c r="A15" s="23" t="s">
        <v>1152</v>
      </c>
      <c r="B15" s="23" t="s">
        <v>1116</v>
      </c>
      <c r="C15" s="23" t="s">
        <v>1117</v>
      </c>
      <c r="D15" s="24" t="s">
        <v>1196</v>
      </c>
      <c r="E15" s="23" t="s">
        <v>1197</v>
      </c>
      <c r="F15" s="23" t="s">
        <v>1198</v>
      </c>
      <c r="G15" s="23" t="s">
        <v>1121</v>
      </c>
      <c r="H15" s="23" t="s">
        <v>1199</v>
      </c>
      <c r="I15" s="23" t="s">
        <v>1200</v>
      </c>
      <c r="J15" s="23" t="s">
        <v>1201</v>
      </c>
      <c r="K15" s="18" t="s">
        <v>925</v>
      </c>
      <c r="L15" s="20"/>
      <c r="M15" s="19" t="s">
        <v>1125</v>
      </c>
      <c r="N15" s="19"/>
    </row>
    <row r="16" customFormat="false" ht="57.45" hidden="false" customHeight="false" outlineLevel="0" collapsed="false">
      <c r="A16" s="23" t="s">
        <v>1152</v>
      </c>
      <c r="B16" s="23" t="s">
        <v>1116</v>
      </c>
      <c r="C16" s="23" t="s">
        <v>1117</v>
      </c>
      <c r="D16" s="24" t="s">
        <v>1202</v>
      </c>
      <c r="E16" s="23" t="s">
        <v>1203</v>
      </c>
      <c r="F16" s="23" t="s">
        <v>1204</v>
      </c>
      <c r="G16" s="23" t="s">
        <v>1205</v>
      </c>
      <c r="H16" s="23" t="s">
        <v>1206</v>
      </c>
      <c r="I16" s="23" t="s">
        <v>1207</v>
      </c>
      <c r="J16" s="23" t="s">
        <v>1208</v>
      </c>
      <c r="K16" s="18" t="s">
        <v>925</v>
      </c>
      <c r="L16" s="20"/>
      <c r="M16" s="19" t="s">
        <v>1125</v>
      </c>
      <c r="N16" s="19"/>
    </row>
    <row r="17" customFormat="false" ht="57.45" hidden="false" customHeight="false" outlineLevel="0" collapsed="false">
      <c r="A17" s="23" t="s">
        <v>1152</v>
      </c>
      <c r="B17" s="23" t="s">
        <v>1139</v>
      </c>
      <c r="C17" s="23" t="s">
        <v>1140</v>
      </c>
      <c r="D17" s="24" t="s">
        <v>1209</v>
      </c>
      <c r="E17" s="23" t="s">
        <v>1210</v>
      </c>
      <c r="F17" s="23" t="s">
        <v>1211</v>
      </c>
      <c r="G17" s="23" t="s">
        <v>1212</v>
      </c>
      <c r="H17" s="23" t="s">
        <v>1213</v>
      </c>
      <c r="I17" s="23"/>
      <c r="J17" s="23" t="s">
        <v>1214</v>
      </c>
      <c r="K17" s="18" t="s">
        <v>925</v>
      </c>
      <c r="L17" s="20"/>
      <c r="M17" s="19" t="s">
        <v>1125</v>
      </c>
      <c r="N17" s="19"/>
    </row>
    <row r="18" customFormat="false" ht="46.25" hidden="false" customHeight="false" outlineLevel="0" collapsed="false">
      <c r="A18" s="23" t="s">
        <v>1152</v>
      </c>
      <c r="B18" s="23" t="s">
        <v>1139</v>
      </c>
      <c r="C18" s="23" t="s">
        <v>1140</v>
      </c>
      <c r="D18" s="24" t="s">
        <v>1215</v>
      </c>
      <c r="E18" s="23" t="s">
        <v>1216</v>
      </c>
      <c r="F18" s="23" t="s">
        <v>1217</v>
      </c>
      <c r="G18" s="23" t="s">
        <v>1218</v>
      </c>
      <c r="H18" s="23" t="s">
        <v>1219</v>
      </c>
      <c r="I18" s="23"/>
      <c r="J18" s="23" t="s">
        <v>1220</v>
      </c>
      <c r="K18" s="18" t="s">
        <v>925</v>
      </c>
      <c r="L18" s="20"/>
      <c r="M18" s="19" t="s">
        <v>1125</v>
      </c>
      <c r="N18" s="19"/>
    </row>
    <row r="19" customFormat="false" ht="46.25" hidden="false" customHeight="false" outlineLevel="0" collapsed="false">
      <c r="A19" s="23" t="s">
        <v>1152</v>
      </c>
      <c r="B19" s="23" t="s">
        <v>1139</v>
      </c>
      <c r="C19" s="23" t="s">
        <v>1140</v>
      </c>
      <c r="D19" s="24" t="s">
        <v>1221</v>
      </c>
      <c r="E19" s="23" t="s">
        <v>1222</v>
      </c>
      <c r="F19" s="23" t="s">
        <v>1223</v>
      </c>
      <c r="G19" s="23" t="s">
        <v>1224</v>
      </c>
      <c r="H19" s="23" t="s">
        <v>1225</v>
      </c>
      <c r="I19" s="23" t="s">
        <v>1226</v>
      </c>
      <c r="J19" s="23" t="s">
        <v>1227</v>
      </c>
      <c r="K19" s="18" t="s">
        <v>925</v>
      </c>
      <c r="L19" s="20"/>
      <c r="M19" s="19" t="s">
        <v>1125</v>
      </c>
      <c r="N19" s="19"/>
    </row>
    <row r="20" customFormat="false" ht="46.25" hidden="false" customHeight="false" outlineLevel="0" collapsed="false">
      <c r="A20" s="23" t="s">
        <v>1152</v>
      </c>
      <c r="B20" s="23" t="s">
        <v>1139</v>
      </c>
      <c r="C20" s="23" t="s">
        <v>1140</v>
      </c>
      <c r="D20" s="24" t="s">
        <v>1228</v>
      </c>
      <c r="E20" s="23" t="s">
        <v>1229</v>
      </c>
      <c r="F20" s="23" t="s">
        <v>1230</v>
      </c>
      <c r="G20" s="23" t="s">
        <v>1231</v>
      </c>
      <c r="H20" s="23" t="s">
        <v>1225</v>
      </c>
      <c r="I20" s="23" t="s">
        <v>1232</v>
      </c>
      <c r="J20" s="23" t="s">
        <v>1233</v>
      </c>
      <c r="K20" s="18" t="s">
        <v>925</v>
      </c>
      <c r="L20" s="20"/>
      <c r="M20" s="19" t="s">
        <v>1125</v>
      </c>
      <c r="N20" s="19"/>
    </row>
    <row r="21" customFormat="false" ht="35.05" hidden="false" customHeight="false" outlineLevel="0" collapsed="false">
      <c r="A21" s="23" t="s">
        <v>1152</v>
      </c>
      <c r="B21" s="23" t="s">
        <v>1139</v>
      </c>
      <c r="C21" s="23" t="s">
        <v>1140</v>
      </c>
      <c r="D21" s="24" t="s">
        <v>1234</v>
      </c>
      <c r="E21" s="23" t="s">
        <v>1235</v>
      </c>
      <c r="F21" s="23" t="s">
        <v>1236</v>
      </c>
      <c r="G21" s="23" t="s">
        <v>1237</v>
      </c>
      <c r="H21" s="23"/>
      <c r="I21" s="23"/>
      <c r="J21" s="23" t="s">
        <v>1238</v>
      </c>
      <c r="K21" s="18" t="s">
        <v>925</v>
      </c>
      <c r="L21" s="20"/>
      <c r="M21" s="19" t="s">
        <v>1125</v>
      </c>
      <c r="N21" s="19"/>
    </row>
    <row r="22" customFormat="false" ht="57.45" hidden="false" customHeight="false" outlineLevel="0" collapsed="false">
      <c r="A22" s="23" t="s">
        <v>1152</v>
      </c>
      <c r="B22" s="23" t="s">
        <v>1139</v>
      </c>
      <c r="C22" s="23" t="s">
        <v>1140</v>
      </c>
      <c r="D22" s="24" t="s">
        <v>1239</v>
      </c>
      <c r="E22" s="23" t="s">
        <v>1240</v>
      </c>
      <c r="F22" s="23"/>
      <c r="G22" s="23" t="s">
        <v>1241</v>
      </c>
      <c r="H22" s="23" t="s">
        <v>1242</v>
      </c>
      <c r="I22" s="23"/>
      <c r="J22" s="23" t="s">
        <v>1243</v>
      </c>
      <c r="K22" s="18" t="s">
        <v>925</v>
      </c>
      <c r="L22" s="20"/>
      <c r="M22" s="19" t="s">
        <v>1125</v>
      </c>
      <c r="N22" s="19"/>
    </row>
    <row r="23" customFormat="false" ht="46.25" hidden="false" customHeight="false" outlineLevel="0" collapsed="false">
      <c r="A23" s="23" t="s">
        <v>1152</v>
      </c>
      <c r="B23" s="23" t="s">
        <v>1139</v>
      </c>
      <c r="C23" s="23" t="s">
        <v>1140</v>
      </c>
      <c r="D23" s="24" t="s">
        <v>1244</v>
      </c>
      <c r="E23" s="23" t="s">
        <v>1245</v>
      </c>
      <c r="F23" s="23" t="s">
        <v>1246</v>
      </c>
      <c r="G23" s="23" t="s">
        <v>1247</v>
      </c>
      <c r="H23" s="23" t="s">
        <v>1248</v>
      </c>
      <c r="I23" s="23"/>
      <c r="J23" s="23" t="s">
        <v>1249</v>
      </c>
      <c r="K23" s="18" t="s">
        <v>925</v>
      </c>
      <c r="L23" s="20"/>
      <c r="M23" s="19" t="s">
        <v>1125</v>
      </c>
      <c r="N23" s="19"/>
    </row>
    <row r="24" customFormat="false" ht="46.25" hidden="false" customHeight="false" outlineLevel="0" collapsed="false">
      <c r="A24" s="23" t="s">
        <v>1152</v>
      </c>
      <c r="B24" s="23" t="s">
        <v>1139</v>
      </c>
      <c r="C24" s="23" t="s">
        <v>1140</v>
      </c>
      <c r="D24" s="24" t="s">
        <v>1250</v>
      </c>
      <c r="E24" s="23" t="s">
        <v>1251</v>
      </c>
      <c r="F24" s="23" t="s">
        <v>1252</v>
      </c>
      <c r="G24" s="23" t="s">
        <v>1253</v>
      </c>
      <c r="H24" s="23" t="s">
        <v>1254</v>
      </c>
      <c r="I24" s="23"/>
      <c r="J24" s="23" t="s">
        <v>1255</v>
      </c>
      <c r="K24" s="18" t="s">
        <v>925</v>
      </c>
      <c r="L24" s="20"/>
      <c r="M24" s="19" t="s">
        <v>1125</v>
      </c>
      <c r="N24" s="19"/>
    </row>
    <row r="25" customFormat="false" ht="46.25" hidden="false" customHeight="false" outlineLevel="0" collapsed="false">
      <c r="A25" s="23" t="s">
        <v>1152</v>
      </c>
      <c r="B25" s="23" t="s">
        <v>1139</v>
      </c>
      <c r="C25" s="23" t="s">
        <v>1140</v>
      </c>
      <c r="D25" s="24" t="s">
        <v>1256</v>
      </c>
      <c r="E25" s="23" t="s">
        <v>1257</v>
      </c>
      <c r="F25" s="23" t="s">
        <v>1252</v>
      </c>
      <c r="G25" s="23" t="s">
        <v>1258</v>
      </c>
      <c r="H25" s="23" t="s">
        <v>1259</v>
      </c>
      <c r="I25" s="23" t="s">
        <v>1260</v>
      </c>
      <c r="J25" s="23" t="s">
        <v>1261</v>
      </c>
      <c r="K25" s="18" t="s">
        <v>925</v>
      </c>
      <c r="L25" s="20"/>
      <c r="M25" s="19" t="s">
        <v>1125</v>
      </c>
      <c r="N25" s="19"/>
    </row>
    <row r="26" customFormat="false" ht="35.05" hidden="false" customHeight="false" outlineLevel="0" collapsed="false">
      <c r="A26" s="23" t="s">
        <v>1152</v>
      </c>
      <c r="B26" s="23" t="s">
        <v>1139</v>
      </c>
      <c r="C26" s="23" t="s">
        <v>1140</v>
      </c>
      <c r="D26" s="24" t="s">
        <v>1262</v>
      </c>
      <c r="E26" s="23" t="s">
        <v>1263</v>
      </c>
      <c r="F26" s="23" t="s">
        <v>1264</v>
      </c>
      <c r="G26" s="23" t="s">
        <v>1265</v>
      </c>
      <c r="H26" s="23"/>
      <c r="I26" s="23"/>
      <c r="J26" s="23" t="s">
        <v>1266</v>
      </c>
      <c r="K26" s="18" t="s">
        <v>925</v>
      </c>
      <c r="L26" s="20"/>
      <c r="M26" s="19" t="s">
        <v>1125</v>
      </c>
      <c r="N26" s="19"/>
    </row>
    <row r="27" customFormat="false" ht="46.25" hidden="false" customHeight="false" outlineLevel="0" collapsed="false">
      <c r="A27" s="23" t="s">
        <v>1152</v>
      </c>
      <c r="B27" s="23" t="s">
        <v>1139</v>
      </c>
      <c r="C27" s="23" t="s">
        <v>1140</v>
      </c>
      <c r="D27" s="24" t="s">
        <v>1267</v>
      </c>
      <c r="E27" s="23" t="s">
        <v>1268</v>
      </c>
      <c r="F27" s="23" t="s">
        <v>1269</v>
      </c>
      <c r="G27" s="23"/>
      <c r="H27" s="23"/>
      <c r="I27" s="23"/>
      <c r="J27" s="23" t="s">
        <v>1270</v>
      </c>
      <c r="K27" s="18" t="s">
        <v>925</v>
      </c>
      <c r="L27" s="20"/>
      <c r="M27" s="19" t="s">
        <v>1125</v>
      </c>
      <c r="N27" s="19"/>
    </row>
    <row r="28" customFormat="false" ht="46.25" hidden="false" customHeight="false" outlineLevel="0" collapsed="false">
      <c r="A28" s="23" t="s">
        <v>1152</v>
      </c>
      <c r="B28" s="23" t="s">
        <v>1139</v>
      </c>
      <c r="C28" s="23" t="s">
        <v>1140</v>
      </c>
      <c r="D28" s="24" t="s">
        <v>1271</v>
      </c>
      <c r="E28" s="23" t="s">
        <v>1272</v>
      </c>
      <c r="F28" s="23" t="s">
        <v>1273</v>
      </c>
      <c r="G28" s="23"/>
      <c r="H28" s="23" t="s">
        <v>939</v>
      </c>
      <c r="I28" s="23" t="s">
        <v>1274</v>
      </c>
      <c r="J28" s="23" t="s">
        <v>1275</v>
      </c>
      <c r="K28" s="18" t="s">
        <v>925</v>
      </c>
      <c r="L28" s="20"/>
      <c r="M28" s="19" t="s">
        <v>1125</v>
      </c>
      <c r="N28" s="19"/>
    </row>
    <row r="29" customFormat="false" ht="57.45" hidden="false" customHeight="false" outlineLevel="0" collapsed="false">
      <c r="A29" s="23" t="s">
        <v>1152</v>
      </c>
      <c r="B29" s="23" t="s">
        <v>1139</v>
      </c>
      <c r="C29" s="23" t="s">
        <v>1140</v>
      </c>
      <c r="D29" s="24" t="s">
        <v>1276</v>
      </c>
      <c r="E29" s="23" t="s">
        <v>1277</v>
      </c>
      <c r="F29" s="23"/>
      <c r="G29" s="23"/>
      <c r="H29" s="23" t="s">
        <v>939</v>
      </c>
      <c r="I29" s="23" t="s">
        <v>1278</v>
      </c>
      <c r="J29" s="23" t="s">
        <v>1279</v>
      </c>
      <c r="K29" s="18" t="s">
        <v>925</v>
      </c>
      <c r="L29" s="20"/>
      <c r="M29" s="19" t="s">
        <v>1125</v>
      </c>
      <c r="N29" s="19"/>
    </row>
    <row r="30" customFormat="false" ht="46.25" hidden="false" customHeight="false" outlineLevel="0" collapsed="false">
      <c r="A30" s="23" t="s">
        <v>1152</v>
      </c>
      <c r="B30" s="23" t="s">
        <v>1139</v>
      </c>
      <c r="C30" s="23" t="s">
        <v>1140</v>
      </c>
      <c r="D30" s="24" t="s">
        <v>1280</v>
      </c>
      <c r="E30" s="23" t="s">
        <v>1281</v>
      </c>
      <c r="F30" s="23" t="s">
        <v>1282</v>
      </c>
      <c r="G30" s="23" t="s">
        <v>1283</v>
      </c>
      <c r="H30" s="23" t="s">
        <v>1284</v>
      </c>
      <c r="I30" s="23" t="s">
        <v>1285</v>
      </c>
      <c r="J30" s="23" t="s">
        <v>1286</v>
      </c>
      <c r="K30" s="18" t="s">
        <v>925</v>
      </c>
      <c r="L30" s="20"/>
      <c r="M30" s="19" t="s">
        <v>1125</v>
      </c>
      <c r="N30" s="19"/>
    </row>
    <row r="31" customFormat="false" ht="46.25" hidden="false" customHeight="false" outlineLevel="0" collapsed="false">
      <c r="A31" s="17" t="s">
        <v>1287</v>
      </c>
      <c r="B31" s="17" t="s">
        <v>1288</v>
      </c>
      <c r="C31" s="17" t="s">
        <v>1117</v>
      </c>
      <c r="D31" s="25" t="s">
        <v>1289</v>
      </c>
      <c r="E31" s="17" t="s">
        <v>1290</v>
      </c>
      <c r="F31" s="17" t="s">
        <v>1120</v>
      </c>
      <c r="G31" s="17" t="s">
        <v>1291</v>
      </c>
      <c r="H31" s="17" t="s">
        <v>1292</v>
      </c>
      <c r="I31" s="17" t="s">
        <v>1293</v>
      </c>
      <c r="J31" s="17" t="s">
        <v>1294</v>
      </c>
      <c r="K31" s="18" t="s">
        <v>925</v>
      </c>
      <c r="L31" s="20"/>
      <c r="M31" s="19" t="s">
        <v>1125</v>
      </c>
      <c r="N31" s="19"/>
    </row>
    <row r="32" customFormat="false" ht="46.25" hidden="false" customHeight="false" outlineLevel="0" collapsed="false">
      <c r="A32" s="17" t="s">
        <v>1287</v>
      </c>
      <c r="B32" s="17" t="s">
        <v>1116</v>
      </c>
      <c r="C32" s="17" t="s">
        <v>1117</v>
      </c>
      <c r="D32" s="25" t="s">
        <v>1295</v>
      </c>
      <c r="E32" s="17" t="s">
        <v>1296</v>
      </c>
      <c r="F32" s="17" t="s">
        <v>1297</v>
      </c>
      <c r="G32" s="17" t="s">
        <v>1298</v>
      </c>
      <c r="H32" s="17" t="s">
        <v>1299</v>
      </c>
      <c r="I32" s="17" t="s">
        <v>1300</v>
      </c>
      <c r="J32" s="17" t="s">
        <v>1301</v>
      </c>
      <c r="K32" s="18" t="s">
        <v>925</v>
      </c>
      <c r="L32" s="20"/>
      <c r="M32" s="19" t="s">
        <v>1125</v>
      </c>
      <c r="N32" s="19"/>
    </row>
    <row r="33" customFormat="false" ht="35.05" hidden="false" customHeight="false" outlineLevel="0" collapsed="false">
      <c r="A33" s="17" t="s">
        <v>1287</v>
      </c>
      <c r="B33" s="17" t="s">
        <v>1116</v>
      </c>
      <c r="C33" s="17" t="s">
        <v>1132</v>
      </c>
      <c r="D33" s="25" t="s">
        <v>1302</v>
      </c>
      <c r="E33" s="17" t="s">
        <v>1303</v>
      </c>
      <c r="F33" s="17" t="s">
        <v>1304</v>
      </c>
      <c r="G33" s="17" t="s">
        <v>1305</v>
      </c>
      <c r="H33" s="17" t="s">
        <v>1306</v>
      </c>
      <c r="I33" s="17" t="s">
        <v>1307</v>
      </c>
      <c r="J33" s="17" t="s">
        <v>1308</v>
      </c>
      <c r="K33" s="18" t="s">
        <v>925</v>
      </c>
      <c r="L33" s="20"/>
      <c r="M33" s="19" t="s">
        <v>1125</v>
      </c>
      <c r="N33" s="19"/>
    </row>
    <row r="34" customFormat="false" ht="35.05" hidden="false" customHeight="false" outlineLevel="0" collapsed="false">
      <c r="A34" s="17" t="s">
        <v>1287</v>
      </c>
      <c r="B34" s="17" t="s">
        <v>1288</v>
      </c>
      <c r="C34" s="17" t="s">
        <v>1132</v>
      </c>
      <c r="D34" s="25" t="s">
        <v>1309</v>
      </c>
      <c r="E34" s="17" t="s">
        <v>1310</v>
      </c>
      <c r="F34" s="17" t="s">
        <v>1311</v>
      </c>
      <c r="G34" s="17" t="s">
        <v>1312</v>
      </c>
      <c r="H34" s="17" t="s">
        <v>1313</v>
      </c>
      <c r="I34" s="17" t="s">
        <v>1314</v>
      </c>
      <c r="J34" s="17" t="s">
        <v>1315</v>
      </c>
      <c r="K34" s="18" t="s">
        <v>925</v>
      </c>
      <c r="L34" s="20"/>
      <c r="M34" s="19" t="s">
        <v>1125</v>
      </c>
      <c r="N34" s="19"/>
    </row>
    <row r="35" customFormat="false" ht="35.05" hidden="false" customHeight="false" outlineLevel="0" collapsed="false">
      <c r="A35" s="17" t="s">
        <v>1287</v>
      </c>
      <c r="B35" s="17" t="s">
        <v>1288</v>
      </c>
      <c r="C35" s="17" t="s">
        <v>1132</v>
      </c>
      <c r="D35" s="25" t="s">
        <v>1316</v>
      </c>
      <c r="E35" s="17" t="s">
        <v>1317</v>
      </c>
      <c r="F35" s="17" t="s">
        <v>1149</v>
      </c>
      <c r="G35" s="17" t="s">
        <v>1318</v>
      </c>
      <c r="H35" s="17" t="s">
        <v>1319</v>
      </c>
      <c r="I35" s="17" t="s">
        <v>1320</v>
      </c>
      <c r="J35" s="17" t="s">
        <v>1321</v>
      </c>
      <c r="K35" s="18" t="s">
        <v>925</v>
      </c>
      <c r="L35" s="20"/>
      <c r="M35" s="19" t="s">
        <v>1125</v>
      </c>
      <c r="N35" s="19"/>
    </row>
    <row r="36" customFormat="false" ht="46.25" hidden="false" customHeight="false" outlineLevel="0" collapsed="false">
      <c r="A36" s="17" t="s">
        <v>1287</v>
      </c>
      <c r="B36" s="17" t="s">
        <v>1116</v>
      </c>
      <c r="C36" s="17" t="s">
        <v>1322</v>
      </c>
      <c r="D36" s="25" t="s">
        <v>1323</v>
      </c>
      <c r="E36" s="17" t="s">
        <v>1324</v>
      </c>
      <c r="F36" s="17" t="s">
        <v>1325</v>
      </c>
      <c r="G36" s="17" t="s">
        <v>1326</v>
      </c>
      <c r="H36" s="17" t="s">
        <v>939</v>
      </c>
      <c r="I36" s="17" t="s">
        <v>1327</v>
      </c>
      <c r="J36" s="17" t="s">
        <v>1328</v>
      </c>
      <c r="K36" s="18" t="s">
        <v>925</v>
      </c>
      <c r="L36" s="20"/>
      <c r="M36" s="19" t="s">
        <v>1125</v>
      </c>
      <c r="N36" s="19"/>
    </row>
    <row r="37" customFormat="false" ht="35.05" hidden="false" customHeight="false" outlineLevel="0" collapsed="false">
      <c r="A37" s="17" t="s">
        <v>1287</v>
      </c>
      <c r="B37" s="17" t="s">
        <v>1116</v>
      </c>
      <c r="C37" s="17" t="s">
        <v>1322</v>
      </c>
      <c r="D37" s="25" t="s">
        <v>1329</v>
      </c>
      <c r="E37" s="17" t="s">
        <v>1330</v>
      </c>
      <c r="F37" s="17" t="s">
        <v>1120</v>
      </c>
      <c r="G37" s="17" t="s">
        <v>1121</v>
      </c>
      <c r="H37" s="17" t="s">
        <v>1331</v>
      </c>
      <c r="I37" s="17" t="s">
        <v>1332</v>
      </c>
      <c r="J37" s="17" t="s">
        <v>1333</v>
      </c>
      <c r="K37" s="18" t="s">
        <v>925</v>
      </c>
      <c r="L37" s="20"/>
      <c r="M37" s="19" t="s">
        <v>1125</v>
      </c>
      <c r="N37" s="19"/>
    </row>
    <row r="38" customFormat="false" ht="35.05" hidden="false" customHeight="false" outlineLevel="0" collapsed="false">
      <c r="A38" s="17" t="s">
        <v>1287</v>
      </c>
      <c r="B38" s="17" t="s">
        <v>1116</v>
      </c>
      <c r="C38" s="17" t="s">
        <v>1158</v>
      </c>
      <c r="D38" s="25" t="s">
        <v>1334</v>
      </c>
      <c r="E38" s="17" t="s">
        <v>1335</v>
      </c>
      <c r="F38" s="17" t="s">
        <v>1336</v>
      </c>
      <c r="G38" s="17" t="s">
        <v>1337</v>
      </c>
      <c r="H38" s="17" t="s">
        <v>1338</v>
      </c>
      <c r="I38" s="17" t="s">
        <v>1339</v>
      </c>
      <c r="J38" s="17" t="s">
        <v>1340</v>
      </c>
      <c r="K38" s="18" t="s">
        <v>925</v>
      </c>
      <c r="L38" s="20"/>
      <c r="M38" s="19" t="s">
        <v>1125</v>
      </c>
      <c r="N38" s="19"/>
    </row>
    <row r="39" customFormat="false" ht="35.05" hidden="false" customHeight="false" outlineLevel="0" collapsed="false">
      <c r="A39" s="17" t="s">
        <v>1287</v>
      </c>
      <c r="B39" s="17" t="s">
        <v>1116</v>
      </c>
      <c r="C39" s="17" t="s">
        <v>1158</v>
      </c>
      <c r="D39" s="25" t="s">
        <v>1341</v>
      </c>
      <c r="E39" s="17" t="s">
        <v>1342</v>
      </c>
      <c r="F39" s="17" t="s">
        <v>1161</v>
      </c>
      <c r="G39" s="17" t="s">
        <v>1162</v>
      </c>
      <c r="H39" s="17" t="s">
        <v>1343</v>
      </c>
      <c r="I39" s="17" t="s">
        <v>1344</v>
      </c>
      <c r="J39" s="17" t="s">
        <v>1345</v>
      </c>
      <c r="K39" s="18" t="s">
        <v>925</v>
      </c>
      <c r="L39" s="20"/>
      <c r="M39" s="19" t="s">
        <v>1125</v>
      </c>
      <c r="N39" s="19"/>
    </row>
    <row r="40" customFormat="false" ht="35.05" hidden="false" customHeight="false" outlineLevel="0" collapsed="false">
      <c r="A40" s="17" t="s">
        <v>1287</v>
      </c>
      <c r="B40" s="17" t="s">
        <v>1116</v>
      </c>
      <c r="C40" s="17" t="s">
        <v>1117</v>
      </c>
      <c r="D40" s="25" t="s">
        <v>1346</v>
      </c>
      <c r="E40" s="17" t="s">
        <v>1347</v>
      </c>
      <c r="F40" s="17" t="s">
        <v>1348</v>
      </c>
      <c r="G40" s="17" t="s">
        <v>1349</v>
      </c>
      <c r="H40" s="17" t="s">
        <v>1331</v>
      </c>
      <c r="I40" s="17" t="s">
        <v>1350</v>
      </c>
      <c r="J40" s="17" t="s">
        <v>1351</v>
      </c>
      <c r="K40" s="18" t="s">
        <v>925</v>
      </c>
      <c r="L40" s="20"/>
      <c r="M40" s="19" t="s">
        <v>1125</v>
      </c>
      <c r="N40" s="19"/>
    </row>
    <row r="41" customFormat="false" ht="35.05" hidden="false" customHeight="false" outlineLevel="0" collapsed="false">
      <c r="A41" s="17" t="s">
        <v>1287</v>
      </c>
      <c r="B41" s="17" t="s">
        <v>1139</v>
      </c>
      <c r="C41" s="17" t="s">
        <v>1140</v>
      </c>
      <c r="D41" s="25" t="s">
        <v>1352</v>
      </c>
      <c r="E41" s="17" t="s">
        <v>1353</v>
      </c>
      <c r="F41" s="17"/>
      <c r="G41" s="17" t="s">
        <v>1354</v>
      </c>
      <c r="H41" s="17" t="s">
        <v>939</v>
      </c>
      <c r="I41" s="17" t="s">
        <v>1355</v>
      </c>
      <c r="J41" s="17" t="s">
        <v>1356</v>
      </c>
      <c r="K41" s="18" t="s">
        <v>925</v>
      </c>
      <c r="L41" s="20"/>
      <c r="M41" s="19" t="s">
        <v>1125</v>
      </c>
      <c r="N41" s="19"/>
    </row>
    <row r="42" customFormat="false" ht="46.25" hidden="false" customHeight="false" outlineLevel="0" collapsed="false">
      <c r="A42" s="17" t="s">
        <v>1287</v>
      </c>
      <c r="B42" s="17" t="s">
        <v>1139</v>
      </c>
      <c r="C42" s="17" t="s">
        <v>1140</v>
      </c>
      <c r="D42" s="25" t="s">
        <v>1357</v>
      </c>
      <c r="E42" s="17" t="s">
        <v>1358</v>
      </c>
      <c r="F42" s="17" t="s">
        <v>1359</v>
      </c>
      <c r="G42" s="17"/>
      <c r="H42" s="17" t="s">
        <v>1360</v>
      </c>
      <c r="I42" s="17" t="s">
        <v>1361</v>
      </c>
      <c r="J42" s="17" t="s">
        <v>1362</v>
      </c>
      <c r="K42" s="18" t="s">
        <v>925</v>
      </c>
      <c r="L42" s="20"/>
      <c r="M42" s="19" t="s">
        <v>1125</v>
      </c>
      <c r="N42" s="19"/>
    </row>
    <row r="43" customFormat="false" ht="35.05" hidden="false" customHeight="false" outlineLevel="0" collapsed="false">
      <c r="A43" s="17" t="s">
        <v>1287</v>
      </c>
      <c r="B43" s="17" t="s">
        <v>1139</v>
      </c>
      <c r="C43" s="17" t="s">
        <v>1140</v>
      </c>
      <c r="D43" s="25" t="s">
        <v>1363</v>
      </c>
      <c r="E43" s="17" t="s">
        <v>1364</v>
      </c>
      <c r="F43" s="17"/>
      <c r="G43" s="17" t="s">
        <v>1365</v>
      </c>
      <c r="H43" s="17" t="s">
        <v>1313</v>
      </c>
      <c r="I43" s="17" t="s">
        <v>1366</v>
      </c>
      <c r="J43" s="17" t="s">
        <v>1367</v>
      </c>
      <c r="K43" s="18" t="s">
        <v>925</v>
      </c>
      <c r="L43" s="20"/>
      <c r="M43" s="19" t="s">
        <v>1125</v>
      </c>
      <c r="N43" s="19"/>
    </row>
    <row r="44" customFormat="false" ht="35.05" hidden="false" customHeight="false" outlineLevel="0" collapsed="false">
      <c r="A44" s="17" t="s">
        <v>1287</v>
      </c>
      <c r="B44" s="17" t="s">
        <v>1139</v>
      </c>
      <c r="C44" s="17" t="s">
        <v>1140</v>
      </c>
      <c r="D44" s="25" t="s">
        <v>1368</v>
      </c>
      <c r="E44" s="17" t="s">
        <v>1369</v>
      </c>
      <c r="F44" s="17" t="s">
        <v>1370</v>
      </c>
      <c r="G44" s="17" t="s">
        <v>1371</v>
      </c>
      <c r="H44" s="17" t="s">
        <v>1372</v>
      </c>
      <c r="I44" s="17" t="s">
        <v>1373</v>
      </c>
      <c r="J44" s="17" t="s">
        <v>1374</v>
      </c>
      <c r="K44" s="18" t="s">
        <v>925</v>
      </c>
      <c r="L44" s="20"/>
      <c r="M44" s="19" t="s">
        <v>1125</v>
      </c>
      <c r="N44" s="19"/>
    </row>
    <row r="45" customFormat="false" ht="46.25" hidden="false" customHeight="false" outlineLevel="0" collapsed="false">
      <c r="A45" s="17" t="s">
        <v>1287</v>
      </c>
      <c r="B45" s="17" t="s">
        <v>1139</v>
      </c>
      <c r="C45" s="17" t="s">
        <v>1140</v>
      </c>
      <c r="D45" s="25" t="s">
        <v>1375</v>
      </c>
      <c r="E45" s="17" t="s">
        <v>1376</v>
      </c>
      <c r="F45" s="17"/>
      <c r="G45" s="17" t="s">
        <v>1377</v>
      </c>
      <c r="H45" s="17" t="s">
        <v>1378</v>
      </c>
      <c r="I45" s="17" t="s">
        <v>1379</v>
      </c>
      <c r="J45" s="17" t="s">
        <v>1380</v>
      </c>
      <c r="K45" s="18" t="s">
        <v>925</v>
      </c>
      <c r="L45" s="20"/>
      <c r="M45" s="19" t="s">
        <v>1125</v>
      </c>
      <c r="N45" s="19"/>
    </row>
    <row r="46" customFormat="false" ht="35.05" hidden="false" customHeight="false" outlineLevel="0" collapsed="false">
      <c r="A46" s="17" t="s">
        <v>1287</v>
      </c>
      <c r="B46" s="17" t="s">
        <v>1139</v>
      </c>
      <c r="C46" s="17" t="s">
        <v>1140</v>
      </c>
      <c r="D46" s="25" t="s">
        <v>1381</v>
      </c>
      <c r="E46" s="17" t="s">
        <v>1382</v>
      </c>
      <c r="F46" s="17" t="s">
        <v>1383</v>
      </c>
      <c r="G46" s="17" t="s">
        <v>1384</v>
      </c>
      <c r="H46" s="17" t="s">
        <v>1385</v>
      </c>
      <c r="I46" s="17" t="s">
        <v>1386</v>
      </c>
      <c r="J46" s="17" t="s">
        <v>1387</v>
      </c>
      <c r="K46" s="18" t="s">
        <v>925</v>
      </c>
      <c r="L46" s="20"/>
      <c r="M46" s="19" t="s">
        <v>1125</v>
      </c>
      <c r="N46" s="19"/>
    </row>
    <row r="47" customFormat="false" ht="35.05" hidden="false" customHeight="false" outlineLevel="0" collapsed="false">
      <c r="A47" s="17" t="s">
        <v>1287</v>
      </c>
      <c r="B47" s="17" t="s">
        <v>1139</v>
      </c>
      <c r="C47" s="17" t="s">
        <v>1140</v>
      </c>
      <c r="D47" s="25" t="s">
        <v>1388</v>
      </c>
      <c r="E47" s="17" t="s">
        <v>1389</v>
      </c>
      <c r="F47" s="17" t="s">
        <v>1128</v>
      </c>
      <c r="G47" s="17" t="s">
        <v>1390</v>
      </c>
      <c r="H47" s="17" t="s">
        <v>1385</v>
      </c>
      <c r="I47" s="17" t="s">
        <v>1391</v>
      </c>
      <c r="J47" s="17" t="s">
        <v>1392</v>
      </c>
      <c r="K47" s="18" t="s">
        <v>925</v>
      </c>
      <c r="L47" s="20"/>
      <c r="M47" s="19" t="s">
        <v>1125</v>
      </c>
      <c r="N47" s="19"/>
    </row>
    <row r="48" customFormat="false" ht="35.05" hidden="false" customHeight="false" outlineLevel="0" collapsed="false">
      <c r="A48" s="17" t="s">
        <v>1287</v>
      </c>
      <c r="B48" s="17" t="s">
        <v>1139</v>
      </c>
      <c r="C48" s="17" t="s">
        <v>1140</v>
      </c>
      <c r="D48" s="25" t="s">
        <v>1393</v>
      </c>
      <c r="E48" s="17" t="s">
        <v>1394</v>
      </c>
      <c r="F48" s="17" t="s">
        <v>1395</v>
      </c>
      <c r="G48" s="17" t="s">
        <v>1396</v>
      </c>
      <c r="H48" s="17" t="s">
        <v>1397</v>
      </c>
      <c r="I48" s="17" t="s">
        <v>1379</v>
      </c>
      <c r="J48" s="17" t="s">
        <v>1398</v>
      </c>
      <c r="K48" s="18" t="s">
        <v>925</v>
      </c>
      <c r="L48" s="20"/>
      <c r="M48" s="19" t="s">
        <v>1125</v>
      </c>
      <c r="N48" s="19"/>
    </row>
    <row r="49" customFormat="false" ht="35.05" hidden="false" customHeight="false" outlineLevel="0" collapsed="false">
      <c r="A49" s="17" t="s">
        <v>1287</v>
      </c>
      <c r="B49" s="17" t="s">
        <v>1139</v>
      </c>
      <c r="C49" s="17" t="s">
        <v>1140</v>
      </c>
      <c r="D49" s="25" t="s">
        <v>1399</v>
      </c>
      <c r="E49" s="17" t="s">
        <v>1400</v>
      </c>
      <c r="F49" s="17" t="s">
        <v>1401</v>
      </c>
      <c r="G49" s="17" t="s">
        <v>1402</v>
      </c>
      <c r="H49" s="17" t="s">
        <v>1403</v>
      </c>
      <c r="I49" s="17" t="s">
        <v>1404</v>
      </c>
      <c r="J49" s="17" t="s">
        <v>1405</v>
      </c>
      <c r="K49" s="18" t="s">
        <v>925</v>
      </c>
      <c r="L49" s="20"/>
      <c r="M49" s="19" t="s">
        <v>1125</v>
      </c>
      <c r="N49" s="19"/>
    </row>
    <row r="50" customFormat="false" ht="35.05" hidden="false" customHeight="false" outlineLevel="0" collapsed="false">
      <c r="A50" s="17" t="s">
        <v>1287</v>
      </c>
      <c r="B50" s="17" t="s">
        <v>1139</v>
      </c>
      <c r="C50" s="17" t="s">
        <v>1140</v>
      </c>
      <c r="D50" s="25" t="s">
        <v>1406</v>
      </c>
      <c r="E50" s="17" t="s">
        <v>1407</v>
      </c>
      <c r="F50" s="17" t="s">
        <v>1408</v>
      </c>
      <c r="G50" s="17" t="s">
        <v>1409</v>
      </c>
      <c r="H50" s="17" t="s">
        <v>1410</v>
      </c>
      <c r="I50" s="17" t="s">
        <v>1411</v>
      </c>
      <c r="J50" s="17" t="s">
        <v>1412</v>
      </c>
      <c r="K50" s="18" t="s">
        <v>925</v>
      </c>
      <c r="L50" s="20"/>
      <c r="M50" s="19" t="s">
        <v>1125</v>
      </c>
      <c r="N50" s="19"/>
    </row>
    <row r="51" customFormat="false" ht="46.25" hidden="false" customHeight="false" outlineLevel="0" collapsed="false">
      <c r="A51" s="17" t="s">
        <v>1287</v>
      </c>
      <c r="B51" s="17" t="s">
        <v>1139</v>
      </c>
      <c r="C51" s="17" t="s">
        <v>1140</v>
      </c>
      <c r="D51" s="25" t="s">
        <v>1413</v>
      </c>
      <c r="E51" s="17" t="s">
        <v>1414</v>
      </c>
      <c r="F51" s="17" t="s">
        <v>1415</v>
      </c>
      <c r="G51" s="17" t="s">
        <v>1416</v>
      </c>
      <c r="H51" s="17"/>
      <c r="I51" s="17" t="s">
        <v>1417</v>
      </c>
      <c r="J51" s="17" t="s">
        <v>1418</v>
      </c>
      <c r="K51" s="18" t="s">
        <v>925</v>
      </c>
      <c r="L51" s="20"/>
      <c r="M51" s="19" t="s">
        <v>1125</v>
      </c>
      <c r="N51" s="19"/>
    </row>
    <row r="52" customFormat="false" ht="46.25" hidden="false" customHeight="false" outlineLevel="0" collapsed="false">
      <c r="A52" s="17" t="s">
        <v>1287</v>
      </c>
      <c r="B52" s="17" t="s">
        <v>1139</v>
      </c>
      <c r="C52" s="17" t="s">
        <v>1140</v>
      </c>
      <c r="D52" s="25" t="s">
        <v>1419</v>
      </c>
      <c r="E52" s="17" t="s">
        <v>1420</v>
      </c>
      <c r="F52" s="17"/>
      <c r="G52" s="17" t="s">
        <v>1421</v>
      </c>
      <c r="H52" s="17" t="s">
        <v>1422</v>
      </c>
      <c r="I52" s="17" t="s">
        <v>1423</v>
      </c>
      <c r="J52" s="17" t="s">
        <v>1424</v>
      </c>
      <c r="K52" s="18" t="s">
        <v>925</v>
      </c>
      <c r="L52" s="20"/>
      <c r="M52" s="19" t="s">
        <v>1125</v>
      </c>
      <c r="N52" s="19"/>
    </row>
    <row r="53" customFormat="false" ht="46.25" hidden="false" customHeight="false" outlineLevel="0" collapsed="false">
      <c r="A53" s="17" t="s">
        <v>1287</v>
      </c>
      <c r="B53" s="17" t="s">
        <v>1139</v>
      </c>
      <c r="C53" s="17" t="s">
        <v>1140</v>
      </c>
      <c r="D53" s="25" t="s">
        <v>1425</v>
      </c>
      <c r="E53" s="17" t="s">
        <v>1426</v>
      </c>
      <c r="F53" s="17"/>
      <c r="G53" s="17" t="s">
        <v>1427</v>
      </c>
      <c r="H53" s="17" t="s">
        <v>1428</v>
      </c>
      <c r="I53" s="17"/>
      <c r="J53" s="17" t="s">
        <v>1429</v>
      </c>
      <c r="K53" s="18" t="s">
        <v>925</v>
      </c>
      <c r="L53" s="20"/>
      <c r="M53" s="19" t="s">
        <v>1125</v>
      </c>
      <c r="N53" s="19"/>
    </row>
    <row r="55" customFormat="false" ht="30" hidden="false" customHeight="true" outlineLevel="0" collapsed="false">
      <c r="A55" s="2" t="s">
        <v>1430</v>
      </c>
      <c r="B55" s="2"/>
      <c r="C55" s="2"/>
      <c r="D55" s="2"/>
      <c r="E55" s="2"/>
      <c r="F55" s="2"/>
      <c r="G55" s="2"/>
      <c r="H55" s="2"/>
      <c r="I55" s="2"/>
      <c r="J55" s="2"/>
    </row>
    <row r="56" customFormat="false" ht="30" hidden="false" customHeight="true" outlineLevel="0" collapsed="false">
      <c r="A56" s="2" t="s">
        <v>1431</v>
      </c>
      <c r="B56" s="2"/>
      <c r="C56" s="2"/>
      <c r="D56" s="2"/>
      <c r="E56" s="2"/>
      <c r="F56" s="2"/>
      <c r="G56" s="2"/>
      <c r="H56" s="2"/>
      <c r="I56" s="2"/>
      <c r="J56" s="2"/>
    </row>
    <row r="57" customFormat="false" ht="30" hidden="false" customHeight="true" outlineLevel="0" collapsed="false">
      <c r="A57" s="2" t="s">
        <v>1432</v>
      </c>
      <c r="B57" s="2"/>
      <c r="C57" s="2"/>
      <c r="D57" s="2"/>
      <c r="E57" s="2"/>
      <c r="F57" s="2"/>
      <c r="G57" s="2"/>
      <c r="H57" s="2"/>
      <c r="I57" s="2"/>
      <c r="J57" s="2"/>
    </row>
    <row r="58" customFormat="false" ht="30" hidden="false" customHeight="true" outlineLevel="0" collapsed="false">
      <c r="A58" s="2" t="s">
        <v>1433</v>
      </c>
      <c r="B58" s="2"/>
      <c r="C58" s="2"/>
      <c r="D58" s="2"/>
      <c r="E58" s="2"/>
      <c r="F58" s="2"/>
      <c r="G58" s="2"/>
      <c r="H58" s="2"/>
      <c r="I58" s="2"/>
      <c r="J58" s="2"/>
    </row>
    <row r="59" customFormat="false" ht="30" hidden="false" customHeight="true" outlineLevel="0" collapsed="false">
      <c r="A59" s="2" t="s">
        <v>1434</v>
      </c>
      <c r="B59" s="2"/>
      <c r="C59" s="2"/>
      <c r="D59" s="2"/>
      <c r="E59" s="2"/>
      <c r="F59" s="2"/>
      <c r="G59" s="2"/>
      <c r="H59" s="2"/>
      <c r="I59" s="2"/>
      <c r="J59" s="2"/>
    </row>
  </sheetData>
  <autoFilter ref="A1:N53"/>
  <mergeCells count="5">
    <mergeCell ref="A55:J55"/>
    <mergeCell ref="A56:J56"/>
    <mergeCell ref="A57:J57"/>
    <mergeCell ref="A58:J58"/>
    <mergeCell ref="A59:J59"/>
  </mergeCells>
  <dataValidations count="1">
    <dataValidation allowBlank="true" errorStyle="stop" operator="between" showDropDown="false" showErrorMessage="true" showInputMessage="false" sqref="M2:M132" type="list">
      <formula1>"À étudier,Répondu,Pas pertinent,Gagné,Perdu"</formula1>
      <formula2>0</formula2>
    </dataValidation>
  </dataValidations>
  <hyperlinks>
    <hyperlink ref="K2" r:id="rId1" display="Ouvrir"/>
    <hyperlink ref="K3" r:id="rId2" display="Ouvrir"/>
    <hyperlink ref="K4" r:id="rId3" display="Ouvrir"/>
    <hyperlink ref="K5" r:id="rId4" display="Ouvrir"/>
    <hyperlink ref="K6" r:id="rId5" display="Ouvrir"/>
    <hyperlink ref="K7" r:id="rId6" display="Ouvrir"/>
    <hyperlink ref="K8" r:id="rId7" display="Ouvrir"/>
    <hyperlink ref="K9" r:id="rId8" display="Ouvrir"/>
    <hyperlink ref="K10" r:id="rId9" display="Ouvrir"/>
    <hyperlink ref="K11" r:id="rId10" display="Ouvrir"/>
    <hyperlink ref="K12" r:id="rId11" display="Ouvrir"/>
    <hyperlink ref="K13" r:id="rId12" display="Ouvrir"/>
    <hyperlink ref="K14" r:id="rId13" display="Ouvrir"/>
    <hyperlink ref="K15" r:id="rId14" display="Ouvrir"/>
    <hyperlink ref="K16" r:id="rId15" display="Ouvrir"/>
    <hyperlink ref="K17" r:id="rId16" display="Ouvrir"/>
    <hyperlink ref="K18" r:id="rId17" display="Ouvrir"/>
    <hyperlink ref="K19" r:id="rId18" display="Ouvrir"/>
    <hyperlink ref="K20" r:id="rId19" display="Ouvrir"/>
    <hyperlink ref="K21" r:id="rId20" display="Ouvrir"/>
    <hyperlink ref="K22" r:id="rId21" display="Ouvrir"/>
    <hyperlink ref="K23" r:id="rId22" display="Ouvrir"/>
    <hyperlink ref="K24" r:id="rId23" display="Ouvrir"/>
    <hyperlink ref="K25" r:id="rId24" display="Ouvrir"/>
    <hyperlink ref="K26" r:id="rId25" display="Ouvrir"/>
    <hyperlink ref="K27" r:id="rId26" display="Ouvrir"/>
    <hyperlink ref="K28" r:id="rId27" display="Ouvrir"/>
    <hyperlink ref="K29" r:id="rId28" display="Ouvrir"/>
    <hyperlink ref="K30" r:id="rId29" display="Ouvrir"/>
    <hyperlink ref="K31" r:id="rId30" display="Ouvrir"/>
    <hyperlink ref="K32" r:id="rId31" display="Ouvrir"/>
    <hyperlink ref="K33" r:id="rId32" display="Ouvrir"/>
    <hyperlink ref="K34" r:id="rId33" display="Ouvrir"/>
    <hyperlink ref="K35" r:id="rId34" display="Ouvrir"/>
    <hyperlink ref="K36" r:id="rId35" display="Ouvrir"/>
    <hyperlink ref="K37" r:id="rId36" display="Ouvrir"/>
    <hyperlink ref="K38" r:id="rId37" display="Ouvrir"/>
    <hyperlink ref="K39" r:id="rId38" display="Ouvrir"/>
    <hyperlink ref="K40" r:id="rId39" display="Ouvrir"/>
    <hyperlink ref="K41" r:id="rId40" display="Ouvrir"/>
    <hyperlink ref="K42" r:id="rId41" display="Ouvrir"/>
    <hyperlink ref="K43" r:id="rId42" display="Ouvrir"/>
    <hyperlink ref="K44" r:id="rId43" display="Ouvrir"/>
    <hyperlink ref="K45" r:id="rId44" display="Ouvrir"/>
    <hyperlink ref="K46" r:id="rId45" display="Ouvrir"/>
    <hyperlink ref="K47" r:id="rId46" display="Ouvrir"/>
    <hyperlink ref="K48" r:id="rId47" display="Ouvrir"/>
    <hyperlink ref="K49" r:id="rId48" display="Ouvrir"/>
    <hyperlink ref="K50" r:id="rId49" display="Ouvrir"/>
    <hyperlink ref="K51" r:id="rId50" display="Ouvrir"/>
    <hyperlink ref="K52" r:id="rId51" display="Ouvrir"/>
    <hyperlink ref="K53" r:id="rId52"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5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4" t="s">
        <v>1435</v>
      </c>
      <c r="B1" s="14" t="s">
        <v>40</v>
      </c>
      <c r="C1" s="14" t="s">
        <v>912</v>
      </c>
      <c r="D1" s="14" t="s">
        <v>1436</v>
      </c>
      <c r="E1" s="14" t="s">
        <v>915</v>
      </c>
      <c r="F1" s="14" t="s">
        <v>917</v>
      </c>
      <c r="G1" s="14" t="s">
        <v>44</v>
      </c>
      <c r="H1" s="14" t="s">
        <v>1437</v>
      </c>
      <c r="I1" s="14" t="s">
        <v>1438</v>
      </c>
      <c r="J1" s="14" t="s">
        <v>1439</v>
      </c>
    </row>
    <row r="2" customFormat="false" ht="68.65" hidden="false" customHeight="false" outlineLevel="0" collapsed="false">
      <c r="A2" s="25" t="s">
        <v>1440</v>
      </c>
      <c r="B2" s="17" t="s">
        <v>939</v>
      </c>
      <c r="C2" s="17" t="s">
        <v>1441</v>
      </c>
      <c r="D2" s="17" t="s">
        <v>1442</v>
      </c>
      <c r="E2" s="17" t="s">
        <v>1443</v>
      </c>
      <c r="F2" s="17"/>
      <c r="G2" s="26" t="s">
        <v>1444</v>
      </c>
      <c r="H2" s="20" t="s">
        <v>1445</v>
      </c>
      <c r="I2" s="19" t="s">
        <v>1446</v>
      </c>
      <c r="J2" s="20"/>
    </row>
    <row r="3" customFormat="false" ht="57.45" hidden="false" customHeight="false" outlineLevel="0" collapsed="false">
      <c r="A3" s="25" t="s">
        <v>1447</v>
      </c>
      <c r="B3" s="17" t="s">
        <v>939</v>
      </c>
      <c r="C3" s="17" t="s">
        <v>1448</v>
      </c>
      <c r="D3" s="17" t="s">
        <v>1449</v>
      </c>
      <c r="E3" s="17" t="s">
        <v>1450</v>
      </c>
      <c r="F3" s="17"/>
      <c r="G3" s="26" t="s">
        <v>1444</v>
      </c>
      <c r="H3" s="20"/>
      <c r="I3" s="19"/>
      <c r="J3" s="20" t="s">
        <v>1451</v>
      </c>
    </row>
    <row r="4" customFormat="false" ht="35.05" hidden="false" customHeight="false" outlineLevel="0" collapsed="false">
      <c r="A4" s="25" t="s">
        <v>1452</v>
      </c>
      <c r="B4" s="17" t="s">
        <v>1453</v>
      </c>
      <c r="C4" s="17" t="s">
        <v>1454</v>
      </c>
      <c r="D4" s="17" t="s">
        <v>1455</v>
      </c>
      <c r="E4" s="17" t="s">
        <v>1456</v>
      </c>
      <c r="F4" s="18" t="s">
        <v>925</v>
      </c>
      <c r="G4" s="18" t="s">
        <v>52</v>
      </c>
      <c r="H4" s="20"/>
      <c r="I4" s="19"/>
      <c r="J4" s="20"/>
    </row>
    <row r="5" customFormat="false" ht="35.05" hidden="false" customHeight="false" outlineLevel="0" collapsed="false">
      <c r="A5" s="25" t="s">
        <v>1457</v>
      </c>
      <c r="B5" s="17" t="s">
        <v>1458</v>
      </c>
      <c r="C5" s="17" t="s">
        <v>1459</v>
      </c>
      <c r="D5" s="17" t="s">
        <v>1460</v>
      </c>
      <c r="E5" s="17" t="s">
        <v>1461</v>
      </c>
      <c r="F5" s="17"/>
      <c r="G5" s="18" t="s">
        <v>52</v>
      </c>
      <c r="H5" s="20"/>
      <c r="I5" s="19"/>
      <c r="J5" s="20"/>
    </row>
    <row r="6" customFormat="false" ht="23.85" hidden="false" customHeight="false" outlineLevel="0" collapsed="false">
      <c r="A6" s="25" t="s">
        <v>1462</v>
      </c>
      <c r="B6" s="17" t="s">
        <v>1463</v>
      </c>
      <c r="C6" s="17" t="s">
        <v>1454</v>
      </c>
      <c r="D6" s="17" t="s">
        <v>1464</v>
      </c>
      <c r="E6" s="17" t="s">
        <v>1465</v>
      </c>
      <c r="F6" s="18" t="s">
        <v>925</v>
      </c>
      <c r="G6" s="18" t="s">
        <v>52</v>
      </c>
      <c r="H6" s="20"/>
      <c r="I6" s="19"/>
      <c r="J6" s="20"/>
    </row>
    <row r="7" customFormat="false" ht="23.85" hidden="false" customHeight="false" outlineLevel="0" collapsed="false">
      <c r="A7" s="25" t="s">
        <v>1466</v>
      </c>
      <c r="B7" s="17" t="s">
        <v>1467</v>
      </c>
      <c r="C7" s="17" t="s">
        <v>1454</v>
      </c>
      <c r="D7" s="17" t="s">
        <v>1464</v>
      </c>
      <c r="E7" s="17" t="s">
        <v>1465</v>
      </c>
      <c r="F7" s="18" t="s">
        <v>925</v>
      </c>
      <c r="G7" s="18" t="s">
        <v>52</v>
      </c>
      <c r="H7" s="20"/>
      <c r="I7" s="19"/>
      <c r="J7" s="20"/>
    </row>
    <row r="8" customFormat="false" ht="46.25" hidden="false" customHeight="false" outlineLevel="0" collapsed="false">
      <c r="A8" s="25" t="s">
        <v>1468</v>
      </c>
      <c r="B8" s="17" t="s">
        <v>1469</v>
      </c>
      <c r="C8" s="17" t="s">
        <v>1454</v>
      </c>
      <c r="D8" s="17" t="s">
        <v>1470</v>
      </c>
      <c r="E8" s="17" t="s">
        <v>1471</v>
      </c>
      <c r="F8" s="18" t="s">
        <v>925</v>
      </c>
      <c r="G8" s="18" t="s">
        <v>52</v>
      </c>
      <c r="H8" s="20"/>
      <c r="I8" s="19"/>
      <c r="J8" s="20"/>
    </row>
    <row r="9" customFormat="false" ht="23.85" hidden="false" customHeight="false" outlineLevel="0" collapsed="false">
      <c r="A9" s="25" t="s">
        <v>1472</v>
      </c>
      <c r="B9" s="17" t="s">
        <v>1473</v>
      </c>
      <c r="C9" s="17" t="s">
        <v>1454</v>
      </c>
      <c r="D9" s="17" t="s">
        <v>1464</v>
      </c>
      <c r="E9" s="17" t="s">
        <v>1465</v>
      </c>
      <c r="F9" s="18" t="s">
        <v>925</v>
      </c>
      <c r="G9" s="18" t="s">
        <v>52</v>
      </c>
      <c r="H9" s="20"/>
      <c r="I9" s="19"/>
      <c r="J9" s="20"/>
    </row>
    <row r="10" customFormat="false" ht="35.05" hidden="false" customHeight="false" outlineLevel="0" collapsed="false">
      <c r="A10" s="25" t="s">
        <v>1474</v>
      </c>
      <c r="B10" s="17" t="s">
        <v>1475</v>
      </c>
      <c r="C10" s="17" t="s">
        <v>1454</v>
      </c>
      <c r="D10" s="17" t="s">
        <v>1464</v>
      </c>
      <c r="E10" s="17" t="s">
        <v>1476</v>
      </c>
      <c r="F10" s="18" t="s">
        <v>925</v>
      </c>
      <c r="G10" s="18" t="s">
        <v>52</v>
      </c>
      <c r="H10" s="20"/>
      <c r="I10" s="19"/>
      <c r="J10" s="20"/>
    </row>
    <row r="11" customFormat="false" ht="23.85" hidden="false" customHeight="false" outlineLevel="0" collapsed="false">
      <c r="A11" s="25" t="s">
        <v>1477</v>
      </c>
      <c r="B11" s="17" t="s">
        <v>1478</v>
      </c>
      <c r="C11" s="17" t="s">
        <v>1454</v>
      </c>
      <c r="D11" s="17" t="s">
        <v>1464</v>
      </c>
      <c r="E11" s="17" t="s">
        <v>1465</v>
      </c>
      <c r="F11" s="18" t="s">
        <v>925</v>
      </c>
      <c r="G11" s="18" t="s">
        <v>52</v>
      </c>
      <c r="H11" s="20"/>
      <c r="I11" s="19"/>
      <c r="J11" s="20"/>
    </row>
    <row r="12" customFormat="false" ht="57.45" hidden="false" customHeight="false" outlineLevel="0" collapsed="false">
      <c r="A12" s="25" t="s">
        <v>1479</v>
      </c>
      <c r="B12" s="17" t="s">
        <v>1480</v>
      </c>
      <c r="C12" s="17" t="s">
        <v>1454</v>
      </c>
      <c r="D12" s="17" t="s">
        <v>1464</v>
      </c>
      <c r="E12" s="17" t="s">
        <v>1481</v>
      </c>
      <c r="F12" s="18" t="s">
        <v>925</v>
      </c>
      <c r="G12" s="18" t="s">
        <v>52</v>
      </c>
      <c r="H12" s="20"/>
      <c r="I12" s="19"/>
      <c r="J12" s="20"/>
    </row>
    <row r="13" customFormat="false" ht="57.45" hidden="false" customHeight="false" outlineLevel="0" collapsed="false">
      <c r="A13" s="25" t="s">
        <v>1482</v>
      </c>
      <c r="B13" s="17" t="s">
        <v>1483</v>
      </c>
      <c r="C13" s="17" t="s">
        <v>1454</v>
      </c>
      <c r="D13" s="17" t="s">
        <v>1464</v>
      </c>
      <c r="E13" s="17" t="s">
        <v>1484</v>
      </c>
      <c r="F13" s="18" t="s">
        <v>925</v>
      </c>
      <c r="G13" s="18" t="s">
        <v>52</v>
      </c>
      <c r="H13" s="20"/>
      <c r="I13" s="19"/>
      <c r="J13" s="20"/>
    </row>
    <row r="14" customFormat="false" ht="46.25" hidden="false" customHeight="false" outlineLevel="0" collapsed="false">
      <c r="A14" s="25" t="s">
        <v>1485</v>
      </c>
      <c r="B14" s="17" t="s">
        <v>1486</v>
      </c>
      <c r="C14" s="17" t="s">
        <v>1454</v>
      </c>
      <c r="D14" s="17" t="s">
        <v>1464</v>
      </c>
      <c r="E14" s="17" t="s">
        <v>1471</v>
      </c>
      <c r="F14" s="18" t="s">
        <v>925</v>
      </c>
      <c r="G14" s="18" t="s">
        <v>52</v>
      </c>
      <c r="H14" s="20"/>
      <c r="I14" s="19"/>
      <c r="J14" s="20"/>
    </row>
    <row r="15" customFormat="false" ht="46.25" hidden="false" customHeight="false" outlineLevel="0" collapsed="false">
      <c r="A15" s="25" t="s">
        <v>1487</v>
      </c>
      <c r="B15" s="17" t="s">
        <v>1488</v>
      </c>
      <c r="C15" s="17" t="s">
        <v>1454</v>
      </c>
      <c r="D15" s="17" t="s">
        <v>1464</v>
      </c>
      <c r="E15" s="17" t="s">
        <v>1471</v>
      </c>
      <c r="F15" s="18" t="s">
        <v>925</v>
      </c>
      <c r="G15" s="18" t="s">
        <v>52</v>
      </c>
      <c r="H15" s="20"/>
      <c r="I15" s="19"/>
      <c r="J15" s="20"/>
    </row>
    <row r="16" customFormat="false" ht="46.25" hidden="false" customHeight="false" outlineLevel="0" collapsed="false">
      <c r="A16" s="25" t="s">
        <v>1489</v>
      </c>
      <c r="B16" s="17" t="s">
        <v>1490</v>
      </c>
      <c r="C16" s="17" t="s">
        <v>1454</v>
      </c>
      <c r="D16" s="17" t="s">
        <v>1464</v>
      </c>
      <c r="E16" s="17" t="s">
        <v>1471</v>
      </c>
      <c r="F16" s="18" t="s">
        <v>925</v>
      </c>
      <c r="G16" s="18" t="s">
        <v>52</v>
      </c>
      <c r="H16" s="20"/>
      <c r="I16" s="19"/>
      <c r="J16" s="20"/>
    </row>
    <row r="17" customFormat="false" ht="46.25" hidden="false" customHeight="false" outlineLevel="0" collapsed="false">
      <c r="A17" s="25" t="s">
        <v>1491</v>
      </c>
      <c r="B17" s="17" t="s">
        <v>1492</v>
      </c>
      <c r="C17" s="17" t="s">
        <v>1454</v>
      </c>
      <c r="D17" s="17" t="s">
        <v>1464</v>
      </c>
      <c r="E17" s="17" t="s">
        <v>1471</v>
      </c>
      <c r="F17" s="18" t="s">
        <v>925</v>
      </c>
      <c r="G17" s="18" t="s">
        <v>52</v>
      </c>
      <c r="H17" s="20"/>
      <c r="I17" s="19"/>
      <c r="J17" s="20"/>
    </row>
    <row r="18" customFormat="false" ht="46.25" hidden="false" customHeight="false" outlineLevel="0" collapsed="false">
      <c r="A18" s="25" t="s">
        <v>1493</v>
      </c>
      <c r="B18" s="17" t="s">
        <v>1494</v>
      </c>
      <c r="C18" s="17" t="s">
        <v>1454</v>
      </c>
      <c r="D18" s="17" t="s">
        <v>1464</v>
      </c>
      <c r="E18" s="17" t="s">
        <v>1471</v>
      </c>
      <c r="F18" s="18" t="s">
        <v>925</v>
      </c>
      <c r="G18" s="18" t="s">
        <v>52</v>
      </c>
      <c r="H18" s="20"/>
      <c r="I18" s="19"/>
      <c r="J18" s="20"/>
    </row>
    <row r="19" customFormat="false" ht="57.45" hidden="false" customHeight="false" outlineLevel="0" collapsed="false">
      <c r="A19" s="25" t="s">
        <v>1495</v>
      </c>
      <c r="B19" s="17" t="s">
        <v>1496</v>
      </c>
      <c r="C19" s="17" t="s">
        <v>1454</v>
      </c>
      <c r="D19" s="17" t="s">
        <v>1464</v>
      </c>
      <c r="E19" s="17" t="s">
        <v>1497</v>
      </c>
      <c r="F19" s="18" t="s">
        <v>925</v>
      </c>
      <c r="G19" s="18" t="s">
        <v>52</v>
      </c>
      <c r="H19" s="20"/>
      <c r="I19" s="19"/>
      <c r="J19" s="20"/>
    </row>
    <row r="20" customFormat="false" ht="57.45" hidden="false" customHeight="false" outlineLevel="0" collapsed="false">
      <c r="A20" s="25" t="s">
        <v>1498</v>
      </c>
      <c r="B20" s="17" t="s">
        <v>1499</v>
      </c>
      <c r="C20" s="17" t="s">
        <v>1454</v>
      </c>
      <c r="D20" s="17" t="s">
        <v>1464</v>
      </c>
      <c r="E20" s="17" t="s">
        <v>1497</v>
      </c>
      <c r="F20" s="18" t="s">
        <v>925</v>
      </c>
      <c r="G20" s="18" t="s">
        <v>52</v>
      </c>
      <c r="H20" s="20"/>
      <c r="I20" s="19"/>
      <c r="J20" s="20"/>
    </row>
    <row r="21" customFormat="false" ht="35.05" hidden="false" customHeight="false" outlineLevel="0" collapsed="false">
      <c r="A21" s="25" t="s">
        <v>1500</v>
      </c>
      <c r="B21" s="17" t="s">
        <v>1501</v>
      </c>
      <c r="C21" s="17" t="s">
        <v>1454</v>
      </c>
      <c r="D21" s="17" t="s">
        <v>1502</v>
      </c>
      <c r="E21" s="17" t="s">
        <v>1503</v>
      </c>
      <c r="F21" s="18" t="s">
        <v>925</v>
      </c>
      <c r="G21" s="18" t="s">
        <v>52</v>
      </c>
      <c r="H21" s="20"/>
      <c r="I21" s="19"/>
      <c r="J21" s="20"/>
    </row>
    <row r="22" customFormat="false" ht="23.85" hidden="false" customHeight="false" outlineLevel="0" collapsed="false">
      <c r="A22" s="25" t="s">
        <v>1504</v>
      </c>
      <c r="B22" s="17" t="s">
        <v>1505</v>
      </c>
      <c r="C22" s="17" t="s">
        <v>1454</v>
      </c>
      <c r="D22" s="17" t="s">
        <v>1464</v>
      </c>
      <c r="E22" s="17" t="s">
        <v>1506</v>
      </c>
      <c r="F22" s="18" t="s">
        <v>925</v>
      </c>
      <c r="G22" s="18" t="s">
        <v>52</v>
      </c>
      <c r="H22" s="20"/>
      <c r="I22" s="19"/>
      <c r="J22" s="20"/>
    </row>
    <row r="23" customFormat="false" ht="35.05" hidden="false" customHeight="false" outlineLevel="0" collapsed="false">
      <c r="A23" s="25" t="s">
        <v>1507</v>
      </c>
      <c r="B23" s="17" t="s">
        <v>1508</v>
      </c>
      <c r="C23" s="17" t="s">
        <v>1448</v>
      </c>
      <c r="D23" s="17" t="s">
        <v>1509</v>
      </c>
      <c r="E23" s="17" t="s">
        <v>1510</v>
      </c>
      <c r="F23" s="18" t="s">
        <v>925</v>
      </c>
      <c r="G23" s="18" t="s">
        <v>52</v>
      </c>
      <c r="H23" s="20"/>
      <c r="I23" s="19"/>
      <c r="J23" s="20"/>
    </row>
    <row r="25" customFormat="false" ht="30" hidden="false" customHeight="true" outlineLevel="0" collapsed="false">
      <c r="A25" s="2" t="s">
        <v>1511</v>
      </c>
      <c r="B25" s="2"/>
      <c r="C25" s="2"/>
      <c r="D25" s="2"/>
      <c r="E25" s="2"/>
      <c r="F25" s="2"/>
    </row>
    <row r="26" customFormat="false" ht="30" hidden="false" customHeight="true" outlineLevel="0" collapsed="false">
      <c r="A26" s="2" t="s">
        <v>1512</v>
      </c>
      <c r="B26" s="2"/>
      <c r="C26" s="2"/>
      <c r="D26" s="2"/>
      <c r="E26" s="2"/>
      <c r="F26" s="2"/>
    </row>
    <row r="27" customFormat="false" ht="30" hidden="false" customHeight="true" outlineLevel="0" collapsed="false">
      <c r="A27" s="2" t="s">
        <v>1513</v>
      </c>
      <c r="B27" s="2"/>
      <c r="C27" s="2"/>
      <c r="D27" s="2"/>
      <c r="E27" s="2"/>
      <c r="F27" s="2"/>
    </row>
    <row r="28" customFormat="false" ht="30" hidden="false" customHeight="true" outlineLevel="0" collapsed="false">
      <c r="A28" s="2" t="s">
        <v>1514</v>
      </c>
      <c r="B28" s="2"/>
      <c r="C28" s="2"/>
      <c r="D28" s="2"/>
      <c r="E28" s="2"/>
      <c r="F28" s="2"/>
    </row>
  </sheetData>
  <mergeCells count="4">
    <mergeCell ref="A25:F25"/>
    <mergeCell ref="A26:F26"/>
    <mergeCell ref="A27:F27"/>
    <mergeCell ref="A28:F28"/>
  </mergeCells>
  <dataValidations count="1">
    <dataValidation allowBlank="true" errorStyle="stop" operator="between" showDropDown="false" showErrorMessage="true" showInputMessage="false" sqref="I2:I82" type="list">
      <formula1>"En attente,Accepté,Refusé,Pages non admises"</formula1>
      <formula2>0</formula2>
    </dataValidation>
  </dataValidations>
  <hyperlinks>
    <hyperlink ref="F4" r:id="rId1" display="Ouvrir"/>
    <hyperlink ref="G4" r:id="rId2" display="Voir"/>
    <hyperlink ref="G5" r:id="rId3" display="Voir"/>
    <hyperlink ref="F6" r:id="rId4" display="Ouvrir"/>
    <hyperlink ref="G6" r:id="rId5" display="Voir"/>
    <hyperlink ref="F7" r:id="rId6" display="Ouvrir"/>
    <hyperlink ref="G7" r:id="rId7" display="Voir"/>
    <hyperlink ref="F8" r:id="rId8" display="Ouvrir"/>
    <hyperlink ref="G8" r:id="rId9" display="Voir"/>
    <hyperlink ref="F9" r:id="rId10" display="Ouvrir"/>
    <hyperlink ref="G9" r:id="rId11" display="Voir"/>
    <hyperlink ref="F10" r:id="rId12" display="Ouvrir"/>
    <hyperlink ref="G10" r:id="rId13" display="Voir"/>
    <hyperlink ref="F11" r:id="rId14" display="Ouvrir"/>
    <hyperlink ref="G11" r:id="rId15" display="Voir"/>
    <hyperlink ref="F12" r:id="rId16" display="Ouvrir"/>
    <hyperlink ref="G12" r:id="rId17" display="Voir"/>
    <hyperlink ref="F13" r:id="rId18" display="Ouvrir"/>
    <hyperlink ref="G13" r:id="rId19" display="Voir"/>
    <hyperlink ref="F14" r:id="rId20" display="Ouvrir"/>
    <hyperlink ref="G14" r:id="rId21" display="Voir"/>
    <hyperlink ref="F15" r:id="rId22" display="Ouvrir"/>
    <hyperlink ref="G15" r:id="rId23" display="Voir"/>
    <hyperlink ref="F16" r:id="rId24" display="Ouvrir"/>
    <hyperlink ref="G16" r:id="rId25" display="Voir"/>
    <hyperlink ref="F17" r:id="rId26" display="Ouvrir"/>
    <hyperlink ref="G17" r:id="rId27" display="Voir"/>
    <hyperlink ref="F18" r:id="rId28" display="Ouvrir"/>
    <hyperlink ref="G18" r:id="rId29" display="Voir"/>
    <hyperlink ref="F19" r:id="rId30" display="Ouvrir"/>
    <hyperlink ref="G19" r:id="rId31" display="Voir"/>
    <hyperlink ref="F20" r:id="rId32" display="Ouvrir"/>
    <hyperlink ref="G20" r:id="rId33" display="Voir"/>
    <hyperlink ref="F21" r:id="rId34" display="Ouvrir"/>
    <hyperlink ref="G21" r:id="rId35" display="Voir"/>
    <hyperlink ref="F22" r:id="rId36" display="Ouvrir"/>
    <hyperlink ref="G22" r:id="rId37" display="Voir"/>
    <hyperlink ref="F23" r:id="rId38" display="Ouvrir"/>
    <hyperlink ref="G23"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4" t="s">
        <v>911</v>
      </c>
      <c r="B1" s="14" t="s">
        <v>1515</v>
      </c>
      <c r="C1" s="14" t="s">
        <v>1516</v>
      </c>
      <c r="D1" s="14" t="s">
        <v>915</v>
      </c>
      <c r="E1" s="14" t="s">
        <v>917</v>
      </c>
    </row>
    <row r="2" customFormat="false" ht="23.85" hidden="false" customHeight="false" outlineLevel="0" collapsed="false">
      <c r="A2" s="25" t="s">
        <v>1517</v>
      </c>
      <c r="B2" s="17" t="s">
        <v>1518</v>
      </c>
      <c r="C2" s="17" t="s">
        <v>1519</v>
      </c>
      <c r="D2" s="17" t="s">
        <v>1520</v>
      </c>
      <c r="E2" s="27" t="s">
        <v>925</v>
      </c>
    </row>
    <row r="3" customFormat="false" ht="23.85" hidden="false" customHeight="false" outlineLevel="0" collapsed="false">
      <c r="A3" s="25" t="s">
        <v>1521</v>
      </c>
      <c r="B3" s="17" t="s">
        <v>1522</v>
      </c>
      <c r="C3" s="17" t="s">
        <v>315</v>
      </c>
      <c r="D3" s="17" t="s">
        <v>1523</v>
      </c>
      <c r="E3" s="27" t="s">
        <v>925</v>
      </c>
    </row>
    <row r="4" customFormat="false" ht="23.85" hidden="false" customHeight="false" outlineLevel="0" collapsed="false">
      <c r="A4" s="25" t="s">
        <v>1524</v>
      </c>
      <c r="B4" s="17" t="s">
        <v>1525</v>
      </c>
      <c r="C4" s="17" t="s">
        <v>1526</v>
      </c>
      <c r="D4" s="17" t="s">
        <v>1527</v>
      </c>
      <c r="E4" s="27" t="s">
        <v>925</v>
      </c>
    </row>
    <row r="5" customFormat="false" ht="35.05" hidden="false" customHeight="false" outlineLevel="0" collapsed="false">
      <c r="A5" s="25" t="s">
        <v>1528</v>
      </c>
      <c r="B5" s="17" t="s">
        <v>1529</v>
      </c>
      <c r="C5" s="17" t="s">
        <v>1530</v>
      </c>
      <c r="D5" s="17" t="s">
        <v>1531</v>
      </c>
      <c r="E5" s="27" t="s">
        <v>925</v>
      </c>
    </row>
    <row r="6" customFormat="false" ht="23.85" hidden="false" customHeight="false" outlineLevel="0" collapsed="false">
      <c r="A6" s="25" t="s">
        <v>1532</v>
      </c>
      <c r="B6" s="17" t="s">
        <v>1533</v>
      </c>
      <c r="C6" s="17" t="s">
        <v>1534</v>
      </c>
      <c r="D6" s="17" t="s">
        <v>1535</v>
      </c>
      <c r="E6" s="27" t="s">
        <v>925</v>
      </c>
    </row>
    <row r="7" customFormat="false" ht="35.05" hidden="false" customHeight="false" outlineLevel="0" collapsed="false">
      <c r="A7" s="25" t="s">
        <v>1536</v>
      </c>
      <c r="B7" s="17" t="s">
        <v>1537</v>
      </c>
      <c r="C7" s="17" t="s">
        <v>1538</v>
      </c>
      <c r="D7" s="17" t="s">
        <v>1539</v>
      </c>
      <c r="E7" s="27" t="s">
        <v>925</v>
      </c>
    </row>
    <row r="8" customFormat="false" ht="35.05" hidden="false" customHeight="false" outlineLevel="0" collapsed="false">
      <c r="A8" s="25" t="s">
        <v>1540</v>
      </c>
      <c r="B8" s="17" t="s">
        <v>1541</v>
      </c>
      <c r="C8" s="17" t="s">
        <v>1542</v>
      </c>
      <c r="D8" s="17" t="s">
        <v>1543</v>
      </c>
      <c r="E8" s="27" t="s">
        <v>925</v>
      </c>
    </row>
    <row r="9" customFormat="false" ht="35.05" hidden="false" customHeight="false" outlineLevel="0" collapsed="false">
      <c r="A9" s="25" t="s">
        <v>1544</v>
      </c>
      <c r="B9" s="17" t="s">
        <v>1545</v>
      </c>
      <c r="C9" s="17" t="s">
        <v>1546</v>
      </c>
      <c r="D9" s="17" t="s">
        <v>1547</v>
      </c>
      <c r="E9" s="27" t="s">
        <v>925</v>
      </c>
    </row>
    <row r="10" customFormat="false" ht="23.85" hidden="false" customHeight="false" outlineLevel="0" collapsed="false">
      <c r="A10" s="25" t="s">
        <v>1548</v>
      </c>
      <c r="B10" s="17" t="s">
        <v>1549</v>
      </c>
      <c r="C10" s="17" t="s">
        <v>50</v>
      </c>
      <c r="D10" s="17" t="s">
        <v>1550</v>
      </c>
      <c r="E10" s="27" t="s">
        <v>925</v>
      </c>
    </row>
    <row r="11" customFormat="false" ht="23.85" hidden="false" customHeight="false" outlineLevel="0" collapsed="false">
      <c r="A11" s="25" t="s">
        <v>1551</v>
      </c>
      <c r="B11" s="17" t="s">
        <v>1552</v>
      </c>
      <c r="C11" s="17" t="s">
        <v>1553</v>
      </c>
      <c r="D11" s="17" t="s">
        <v>1554</v>
      </c>
      <c r="E11" s="27" t="s">
        <v>925</v>
      </c>
    </row>
    <row r="12" customFormat="false" ht="35.05" hidden="false" customHeight="false" outlineLevel="0" collapsed="false">
      <c r="A12" s="25" t="s">
        <v>1555</v>
      </c>
      <c r="B12" s="17" t="s">
        <v>1556</v>
      </c>
      <c r="C12" s="17" t="s">
        <v>1557</v>
      </c>
      <c r="D12" s="17" t="s">
        <v>1558</v>
      </c>
      <c r="E12" s="27" t="s">
        <v>925</v>
      </c>
    </row>
    <row r="13" customFormat="false" ht="35.05" hidden="false" customHeight="false" outlineLevel="0" collapsed="false">
      <c r="A13" s="25" t="s">
        <v>1559</v>
      </c>
      <c r="B13" s="17" t="s">
        <v>1560</v>
      </c>
      <c r="C13" s="17" t="s">
        <v>1561</v>
      </c>
      <c r="D13" s="17" t="s">
        <v>1562</v>
      </c>
      <c r="E13" s="27" t="s">
        <v>925</v>
      </c>
    </row>
    <row r="14" customFormat="false" ht="23.85" hidden="false" customHeight="false" outlineLevel="0" collapsed="false">
      <c r="A14" s="25" t="s">
        <v>1563</v>
      </c>
      <c r="B14" s="17" t="s">
        <v>1564</v>
      </c>
      <c r="C14" s="17" t="s">
        <v>1565</v>
      </c>
      <c r="D14" s="17" t="s">
        <v>1566</v>
      </c>
      <c r="E14" s="27" t="s">
        <v>925</v>
      </c>
    </row>
    <row r="15" customFormat="false" ht="23.85" hidden="false" customHeight="false" outlineLevel="0" collapsed="false">
      <c r="A15" s="25" t="s">
        <v>1567</v>
      </c>
      <c r="B15" s="17" t="s">
        <v>1568</v>
      </c>
      <c r="C15" s="17" t="s">
        <v>1569</v>
      </c>
      <c r="D15" s="17" t="s">
        <v>1570</v>
      </c>
      <c r="E15" s="27" t="s">
        <v>925</v>
      </c>
    </row>
    <row r="16" customFormat="false" ht="46.25" hidden="false" customHeight="false" outlineLevel="0" collapsed="false">
      <c r="A16" s="25" t="s">
        <v>1571</v>
      </c>
      <c r="B16" s="17" t="s">
        <v>1572</v>
      </c>
      <c r="C16" s="17" t="s">
        <v>1573</v>
      </c>
      <c r="D16" s="17" t="s">
        <v>1574</v>
      </c>
      <c r="E16" s="27" t="s">
        <v>925</v>
      </c>
    </row>
    <row r="17" customFormat="false" ht="35.05" hidden="false" customHeight="false" outlineLevel="0" collapsed="false">
      <c r="A17" s="25" t="s">
        <v>1575</v>
      </c>
      <c r="B17" s="17" t="s">
        <v>1576</v>
      </c>
      <c r="C17" s="17" t="s">
        <v>1577</v>
      </c>
      <c r="D17" s="17" t="s">
        <v>1578</v>
      </c>
      <c r="E17" s="27" t="s">
        <v>925</v>
      </c>
    </row>
    <row r="18" customFormat="false" ht="35.05" hidden="false" customHeight="false" outlineLevel="0" collapsed="false">
      <c r="A18" s="25" t="s">
        <v>1140</v>
      </c>
      <c r="B18" s="17" t="s">
        <v>1579</v>
      </c>
      <c r="C18" s="17" t="s">
        <v>1580</v>
      </c>
      <c r="D18" s="17" t="s">
        <v>1581</v>
      </c>
      <c r="E18" s="27" t="s">
        <v>925</v>
      </c>
    </row>
    <row r="19" customFormat="false" ht="23.85" hidden="false" customHeight="false" outlineLevel="0" collapsed="false">
      <c r="A19" s="25" t="s">
        <v>1582</v>
      </c>
      <c r="B19" s="17" t="s">
        <v>1583</v>
      </c>
      <c r="C19" s="17" t="s">
        <v>1584</v>
      </c>
      <c r="D19" s="17" t="s">
        <v>1585</v>
      </c>
      <c r="E19" s="27" t="s">
        <v>925</v>
      </c>
    </row>
    <row r="20" customFormat="false" ht="23.85" hidden="false" customHeight="false" outlineLevel="0" collapsed="false">
      <c r="A20" s="25" t="s">
        <v>1158</v>
      </c>
      <c r="B20" s="17" t="s">
        <v>1586</v>
      </c>
      <c r="C20" s="17" t="s">
        <v>1587</v>
      </c>
      <c r="D20" s="17" t="s">
        <v>1588</v>
      </c>
      <c r="E20" s="27" t="s">
        <v>925</v>
      </c>
    </row>
    <row r="21" customFormat="false" ht="23.85" hidden="false" customHeight="false" outlineLevel="0" collapsed="false">
      <c r="A21" s="25" t="s">
        <v>1589</v>
      </c>
      <c r="B21" s="17" t="s">
        <v>1590</v>
      </c>
      <c r="C21" s="17" t="s">
        <v>1591</v>
      </c>
      <c r="D21" s="17" t="s">
        <v>1592</v>
      </c>
      <c r="E21" s="27" t="s">
        <v>925</v>
      </c>
    </row>
    <row r="22" customFormat="false" ht="35.05" hidden="false" customHeight="false" outlineLevel="0" collapsed="false">
      <c r="A22" s="25" t="s">
        <v>1593</v>
      </c>
      <c r="B22" s="17" t="s">
        <v>1594</v>
      </c>
      <c r="C22" s="17" t="s">
        <v>1595</v>
      </c>
      <c r="D22" s="17" t="s">
        <v>1596</v>
      </c>
      <c r="E22" s="28"/>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 ref="E17" r:id="rId16" display="Ouvrir"/>
    <hyperlink ref="E18" r:id="rId17" display="Ouvrir"/>
    <hyperlink ref="E19" r:id="rId18" display="Ouvrir"/>
    <hyperlink ref="E20" r:id="rId19" display="Ouvrir"/>
    <hyperlink ref="E21" r:id="rId2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4" t="s">
        <v>1597</v>
      </c>
      <c r="B1" s="14" t="s">
        <v>1598</v>
      </c>
      <c r="C1" s="14" t="s">
        <v>44</v>
      </c>
    </row>
    <row r="2" customFormat="false" ht="35.05" hidden="false" customHeight="false" outlineLevel="0" collapsed="false">
      <c r="A2" s="25" t="s">
        <v>1599</v>
      </c>
      <c r="B2" s="17" t="s">
        <v>1600</v>
      </c>
      <c r="C2" s="27" t="s">
        <v>925</v>
      </c>
    </row>
    <row r="3" customFormat="false" ht="23.85" hidden="false" customHeight="false" outlineLevel="0" collapsed="false">
      <c r="A3" s="25" t="s">
        <v>1601</v>
      </c>
      <c r="B3" s="17" t="s">
        <v>1602</v>
      </c>
      <c r="C3" s="27" t="s">
        <v>925</v>
      </c>
    </row>
    <row r="4" customFormat="false" ht="46.25" hidden="false" customHeight="false" outlineLevel="0" collapsed="false">
      <c r="A4" s="25" t="s">
        <v>1603</v>
      </c>
      <c r="B4" s="17" t="s">
        <v>1604</v>
      </c>
      <c r="C4" s="27" t="s">
        <v>925</v>
      </c>
    </row>
    <row r="5" customFormat="false" ht="23.85" hidden="false" customHeight="false" outlineLevel="0" collapsed="false">
      <c r="A5" s="25" t="s">
        <v>1605</v>
      </c>
      <c r="B5" s="17" t="s">
        <v>1606</v>
      </c>
      <c r="C5" s="27" t="s">
        <v>925</v>
      </c>
    </row>
    <row r="6" customFormat="false" ht="15" hidden="false" customHeight="false" outlineLevel="0" collapsed="false">
      <c r="A6" s="25" t="s">
        <v>1607</v>
      </c>
      <c r="B6" s="17" t="s">
        <v>1608</v>
      </c>
      <c r="C6" s="27" t="s">
        <v>925</v>
      </c>
    </row>
    <row r="7" customFormat="false" ht="15" hidden="false" customHeight="false" outlineLevel="0" collapsed="false">
      <c r="A7" s="25" t="s">
        <v>1609</v>
      </c>
      <c r="B7" s="17" t="s">
        <v>1610</v>
      </c>
      <c r="C7" s="27" t="s">
        <v>925</v>
      </c>
    </row>
    <row r="8" customFormat="false" ht="23.85" hidden="false" customHeight="false" outlineLevel="0" collapsed="false">
      <c r="A8" s="25" t="s">
        <v>1611</v>
      </c>
      <c r="B8" s="17" t="s">
        <v>1612</v>
      </c>
      <c r="C8" s="27" t="s">
        <v>925</v>
      </c>
    </row>
    <row r="9" customFormat="false" ht="23.85" hidden="false" customHeight="false" outlineLevel="0" collapsed="false">
      <c r="A9" s="25" t="s">
        <v>1613</v>
      </c>
      <c r="B9" s="17" t="s">
        <v>1614</v>
      </c>
      <c r="C9" s="27" t="s">
        <v>925</v>
      </c>
    </row>
    <row r="10" customFormat="false" ht="23.85" hidden="false" customHeight="false" outlineLevel="0" collapsed="false">
      <c r="A10" s="25" t="s">
        <v>1615</v>
      </c>
      <c r="B10" s="17" t="s">
        <v>1616</v>
      </c>
      <c r="C10" s="27" t="s">
        <v>925</v>
      </c>
    </row>
    <row r="11" customFormat="false" ht="23.85" hidden="false" customHeight="false" outlineLevel="0" collapsed="false">
      <c r="A11" s="25" t="s">
        <v>1617</v>
      </c>
      <c r="B11" s="17" t="s">
        <v>1618</v>
      </c>
      <c r="C11" s="27" t="s">
        <v>925</v>
      </c>
    </row>
    <row r="13" customFormat="false" ht="15" hidden="false" customHeight="false" outlineLevel="0" collapsed="false">
      <c r="A13" s="10" t="s">
        <v>1619</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2026-10-13T14:16:05Z</dcterms:created>
  <dc:creator>openpyxl</dc:creator>
  <dc:description/>
  <dc:language>en-US</dc:language>
  <cp:lastModifiedBy/>
  <dcterms:modified xsi:type="dcterms:W3CDTF">2026-10-13T14:16:05Z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