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rospects" sheetId="2" state="visible" r:id="rId4"/>
    <sheet name="Plateformes" sheetId="3" state="visible" r:id="rId5"/>
  </sheets>
  <definedNames>
    <definedName function="false" hidden="true" localSheetId="1" name="_xlnm._FilterDatabase" vbProcedure="false">Prospects!$A$1:$M$23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1 = revendeur, peut reprendre un gros lot
2 = pose ou aménage, achète par chantier
3 = piste plus large</t>
        </r>
      </text>
    </comment>
    <comment ref="H1" authorId="0">
      <text>
        <r>
          <rPr>
            <sz val="10"/>
            <rFont val="Arial"/>
            <family val="2"/>
          </rPr>
          <t xml:space="preserve">Fiches d'annuaires en ligne (118712, PagesJaunes, travaux.obat.fr, site Diffazur), consultées le 08/10/2026. Le téléphone figure sur la fiche. Vérifiez avant d'appeler : les annuaires peuvent être anciens.</t>
        </r>
      </text>
    </comment>
  </commentList>
</comments>
</file>

<file path=xl/sharedStrings.xml><?xml version="1.0" encoding="utf-8"?>
<sst xmlns="http://schemas.openxmlformats.org/spreadsheetml/2006/main" count="230" uniqueCount="144">
  <si>
    <t xml:space="preserve">Prospection MINYALA — mode d'emploi</t>
  </si>
  <si>
    <t xml:space="preserve">1. Onglet Prospects : commencez par la priorité 1 (revendeurs, ils peuvent reprendre un gros lot).</t>
  </si>
  <si>
    <t xml:space="preserve">2. Cliquez « Voir la fiche » pour obtenir le téléphone, puis appelez ou écrivez (message prêt dans le kit de vente, section 4).</t>
  </si>
  <si>
    <t xml:space="preserve">3. Remplissez uniquement les cases jaunes : Statut, Date du contact, Prochaine action, Notes, m² vendus.</t>
  </si>
  <si>
    <t xml:space="preserve">4. Le tableau de suivi ci-dessous se met à jour tout seul.</t>
  </si>
  <si>
    <t xml:space="preserve">Les entreprises viennent d'annuaires en ligne consultés le 08/10/2026 : vérifiez-les avant de les contacter.</t>
  </si>
  <si>
    <t xml:space="preserve">Exemple de ligne remplie</t>
  </si>
  <si>
    <t xml:space="preserve">Statut</t>
  </si>
  <si>
    <t xml:space="preserve">Contacté</t>
  </si>
  <si>
    <t xml:space="preserve">Date du contact</t>
  </si>
  <si>
    <t xml:space="preserve">09/10/2026</t>
  </si>
  <si>
    <t xml:space="preserve">Prochaine action</t>
  </si>
  <si>
    <t xml:space="preserve">Rappeler mardi 14/10</t>
  </si>
  <si>
    <t xml:space="preserve">Notes</t>
  </si>
  <si>
    <t xml:space="preserve">Chantier terrasse 60 m² à Colombes en novembre, veut voir le lot</t>
  </si>
  <si>
    <t xml:space="preserve">m² vendus</t>
  </si>
  <si>
    <t xml:space="preserve">(vide tant que rien n'est vendu)</t>
  </si>
  <si>
    <t xml:space="preserve">Suivi</t>
  </si>
  <si>
    <t xml:space="preserve">Nombre</t>
  </si>
  <si>
    <t xml:space="preserve">À contacter</t>
  </si>
  <si>
    <t xml:space="preserve">Intéressé</t>
  </si>
  <si>
    <t xml:space="preserve">Échantillon / visite</t>
  </si>
  <si>
    <t xml:space="preserve">Devis envoyé</t>
  </si>
  <si>
    <t xml:space="preserve">Vendu</t>
  </si>
  <si>
    <t xml:space="preserve">Pas intéressé</t>
  </si>
  <si>
    <t xml:space="preserve">Total entreprises</t>
  </si>
  <si>
    <t xml:space="preserve">Prix MINYALA (€/m², pierre seule)</t>
  </si>
  <si>
    <t xml:space="preserve">Source : fiche produit pierredegypte.online, 08/10/2026. Modifiez si le prix change.</t>
  </si>
  <si>
    <t xml:space="preserve">m² vendus (total)</t>
  </si>
  <si>
    <t xml:space="preserve">Chiffre d'affaires pierre seule</t>
  </si>
  <si>
    <t xml:space="preserve">N°</t>
  </si>
  <si>
    <t xml:space="preserve">Priorité</t>
  </si>
  <si>
    <t xml:space="preserve">Type d'acheteur</t>
  </si>
  <si>
    <t xml:space="preserve">Entreprise</t>
  </si>
  <si>
    <t xml:space="preserve">Ville (CP)</t>
  </si>
  <si>
    <t xml:space="preserve">Zone</t>
  </si>
  <si>
    <t xml:space="preserve">Pourquoi les contacter</t>
  </si>
  <si>
    <t xml:space="preserve">Source (fiche annuaire)</t>
  </si>
  <si>
    <t xml:space="preserve">Revendeur / négoce</t>
  </si>
  <si>
    <t xml:space="preserve">Carrelages Pedrazzini</t>
  </si>
  <si>
    <t xml:space="preserve">Voisenon (77950)</t>
  </si>
  <si>
    <t xml:space="preserve">Île-de-France</t>
  </si>
  <si>
    <t xml:space="preserve">Vend de la pierre naturelle, showroom et stock important : peut reprendre un gros lot.</t>
  </si>
  <si>
    <t xml:space="preserve">Voir la fiche</t>
  </si>
  <si>
    <t xml:space="preserve">Paco</t>
  </si>
  <si>
    <t xml:space="preserve">Courcouronnes (91080)</t>
  </si>
  <si>
    <t xml:space="preserve">Marbrerie et vente de carrelage et de dallage.</t>
  </si>
  <si>
    <t xml:space="preserve">La Halle aux Pierres</t>
  </si>
  <si>
    <t xml:space="preserve">Gometz-le-Châtel (91940)</t>
  </si>
  <si>
    <t xml:space="preserve">Négoce de matériaux de construction.</t>
  </si>
  <si>
    <t xml:space="preserve">Natou Pierre</t>
  </si>
  <si>
    <t xml:space="preserve">Paris 17e (75017)</t>
  </si>
  <si>
    <t xml:space="preserve">Fourniture et pose de pierre.</t>
  </si>
  <si>
    <t xml:space="preserve">Le Comptoir du Sol</t>
  </si>
  <si>
    <t xml:space="preserve">Rouen et Dieppe (siège 76370 Neuville-lès-Dieppe)</t>
  </si>
  <si>
    <t xml:space="preserve">Normandie</t>
  </si>
  <si>
    <t xml:space="preserve">Showrooms carrelage et dallage, dont pierre naturelle et dallage terrasse. Tél. annuaire : 02 79 02 73 91.</t>
  </si>
  <si>
    <t xml:space="preserve">Poseur pierre / marbre</t>
  </si>
  <si>
    <t xml:space="preserve">Badiaga Renov</t>
  </si>
  <si>
    <t xml:space="preserve">Paris 20e (75020)</t>
  </si>
  <si>
    <t xml:space="preserve">Marbrerie et pose de pierres naturelles.</t>
  </si>
  <si>
    <t xml:space="preserve">Marbrerie Peixeiro</t>
  </si>
  <si>
    <t xml:space="preserve">Clichy (92110)</t>
  </si>
  <si>
    <t xml:space="preserve">Pose et rénovation en marbre, toute l'Île-de-France. À 10 min de Gennevilliers.</t>
  </si>
  <si>
    <t xml:space="preserve">Paysagiste</t>
  </si>
  <si>
    <t xml:space="preserve">Alinea Paysage</t>
  </si>
  <si>
    <t xml:space="preserve">Colombes (92700)</t>
  </si>
  <si>
    <t xml:space="preserve">Paysagiste établi depuis 2004. Voisin de Gennevilliers.</t>
  </si>
  <si>
    <t xml:space="preserve">Vert Horizon</t>
  </si>
  <si>
    <t xml:space="preserve">La Garenne-Colombes (92250)</t>
  </si>
  <si>
    <t xml:space="preserve">Aménagement de terrasses. Proche de Gennevilliers.</t>
  </si>
  <si>
    <t xml:space="preserve">Les Jardins du Roy</t>
  </si>
  <si>
    <t xml:space="preserve">Suresnes (92150)</t>
  </si>
  <si>
    <t xml:space="preserve">Paysage et maçonnerie.</t>
  </si>
  <si>
    <t xml:space="preserve">Kalozia Gardens (Entreprise Tetrasol)</t>
  </si>
  <si>
    <t xml:space="preserve">Rueil-Malmaison (92500)</t>
  </si>
  <si>
    <t xml:space="preserve">Création de jardins avec terrasses.</t>
  </si>
  <si>
    <t xml:space="preserve">Veduta Paysages d'Exception</t>
  </si>
  <si>
    <t xml:space="preserve">Saint-Cloud (92210)</t>
  </si>
  <si>
    <t xml:space="preserve">Aménagement de terrasses et dallage de jardin. Clientèle haut de gamme.</t>
  </si>
  <si>
    <t xml:space="preserve">Apex Paysage</t>
  </si>
  <si>
    <t xml:space="preserve">Bourg-la-Reine (92340)</t>
  </si>
  <si>
    <t xml:space="preserve">Aménagement de terrasses et pavage extérieur.</t>
  </si>
  <si>
    <t xml:space="preserve">Pisciniste</t>
  </si>
  <si>
    <t xml:space="preserve">Diffazur (agence Paris)</t>
  </si>
  <si>
    <t xml:space="preserve">Paris, couvre le 92 et le 95</t>
  </si>
  <si>
    <t xml:space="preserve">Constructeur de piscines : les plages et abords se font en dallage.</t>
  </si>
  <si>
    <t xml:space="preserve">SARL A.C. Paysages</t>
  </si>
  <si>
    <t xml:space="preserve">Yville-sur-Seine (76530)</t>
  </si>
  <si>
    <t xml:space="preserve">Maçonnerie paysagère (terrasses, allées).</t>
  </si>
  <si>
    <t xml:space="preserve">ABG Allée - Jardin - Terrasse</t>
  </si>
  <si>
    <t xml:space="preserve">Vexin-sur-Epte (27630)</t>
  </si>
  <si>
    <t xml:space="preserve">Terrassement, maçonnerie et aménagement extérieur.</t>
  </si>
  <si>
    <t xml:space="preserve">Travaux publics / VRD</t>
  </si>
  <si>
    <t xml:space="preserve">Delpic TP</t>
  </si>
  <si>
    <t xml:space="preserve">Rives-en-Seine (76490)</t>
  </si>
  <si>
    <t xml:space="preserve">Travaux publics et aménagements extérieurs : projets de plus grande surface.</t>
  </si>
  <si>
    <t xml:space="preserve">Gouellain</t>
  </si>
  <si>
    <t xml:space="preserve">Maromme (76150)</t>
  </si>
  <si>
    <t xml:space="preserve">Paysagiste, création d'espaces extérieurs. Près de Rouen.</t>
  </si>
  <si>
    <t xml:space="preserve">Carreleur</t>
  </si>
  <si>
    <t xml:space="preserve">GBT-Toktas</t>
  </si>
  <si>
    <t xml:space="preserve">Sotteville-lès-Rouen (76300)</t>
  </si>
  <si>
    <t xml:space="preserve">Carreleur. Près de Rouen.</t>
  </si>
  <si>
    <t xml:space="preserve">Mabire Paysages</t>
  </si>
  <si>
    <t xml:space="preserve">Octeville-sur-Mer (76930)</t>
  </si>
  <si>
    <t xml:space="preserve">Paysagiste pour particuliers et professionnels. Près du Havre.</t>
  </si>
  <si>
    <t xml:space="preserve">Entreprise bâtiment</t>
  </si>
  <si>
    <t xml:space="preserve">Axel BTP</t>
  </si>
  <si>
    <t xml:space="preserve">Gennevilliers (92230)</t>
  </si>
  <si>
    <t xml:space="preserve">Entreprise de construction installée à Gennevilliers, comme votre point de retrait.</t>
  </si>
  <si>
    <t xml:space="preserve">Translin Aurelien</t>
  </si>
  <si>
    <t xml:space="preserve">Paysagiste, aménagement de jardins. Près du Havre.</t>
  </si>
  <si>
    <t xml:space="preserve">Canal</t>
  </si>
  <si>
    <t xml:space="preserve">Acheteurs visés</t>
  </si>
  <si>
    <t xml:space="preserve">Ce qu'il faut faire</t>
  </si>
  <si>
    <t xml:space="preserve">Lien</t>
  </si>
  <si>
    <t xml:space="preserve">Leboncoin</t>
  </si>
  <si>
    <t xml:space="preserve">Particuliers et petits artisans</t>
  </si>
  <si>
    <t xml:space="preserve">Publier l'annonce du kit de vente (section 3) dans Bricolage &gt; Matériaux. Déclarez-vous comme professionnel. Remonter l'annonce chaque semaine.</t>
  </si>
  <si>
    <t xml:space="preserve">https://www.leboncoin.fr</t>
  </si>
  <si>
    <t xml:space="preserve">Facebook Marketplace</t>
  </si>
  <si>
    <t xml:space="preserve">Particuliers, Île-de-France et Normandie</t>
  </si>
  <si>
    <t xml:space="preserve">Même annonce que Leboncoin, avec des photos réelles du lot.</t>
  </si>
  <si>
    <t xml:space="preserve">https://www.facebook.com/marketplace</t>
  </si>
  <si>
    <t xml:space="preserve">Backacia</t>
  </si>
  <si>
    <t xml:space="preserve">Professionnels du bâtiment (réemploi, surplus)</t>
  </si>
  <si>
    <t xml:space="preserve">Marketplace de surplus et fins de série, entrepôt à Ivry-sur-Seine. Demandez s'ils acceptent un lot de dallage en pierre et à quelles conditions.</t>
  </si>
  <si>
    <t xml:space="preserve">https://www.backacia.com</t>
  </si>
  <si>
    <t xml:space="preserve">Cycle Up</t>
  </si>
  <si>
    <t xml:space="preserve">Architectes, constructeurs, négoces</t>
  </si>
  <si>
    <t xml:space="preserve">Marketplace qui fait circuler les surplus et stocks invendus du négoce. Demandez s'ils prennent la pierre.</t>
  </si>
  <si>
    <t xml:space="preserve">https://www.cycle-up.fr</t>
  </si>
  <si>
    <t xml:space="preserve">Google Business Profile</t>
  </si>
  <si>
    <t xml:space="preserve">Recherches locales (« pierre naturelle Gennevilliers »)</t>
  </si>
  <si>
    <t xml:space="preserve">Créer ou compléter la fiche du point de retrait avec photos, horaires sur rendez-vous et lien vers MINYALA. Gratuit.</t>
  </si>
  <si>
    <t xml:space="preserve">https://www.google.com/business/</t>
  </si>
  <si>
    <t xml:space="preserve">ChatGPT (via Shopify)</t>
  </si>
  <si>
    <t xml:space="preserve">Acheteurs qui demandent conseil à ChatGPT</t>
  </si>
  <si>
    <t xml:space="preserve">Shopify admin &gt; Paramètres &gt; Canaux de vente &gt; Agentic storefronts. Vérifier la disponibilité en France. Masquer d'abord les produits « Acompte ».</t>
  </si>
  <si>
    <t xml:space="preserve">https://shopify.dev/changelog/a-new-home-for-agentic-storefronts-in-your-admin</t>
  </si>
  <si>
    <t xml:space="preserve">E-mail / WhatsApp aux pros</t>
  </si>
  <si>
    <t xml:space="preserve">Les entreprises de l'onglet Prospects</t>
  </si>
  <si>
    <t xml:space="preserve">Message prêt dans le kit de vente (section 4). 10 contacts par semaine, relance après 7 jours.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</si>
</sst>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€&quot;"/>
    <numFmt numFmtId="166" formatCode="#,##0"/>
    <numFmt numFmtId="167" formatCode="#,##0&quot; €&quot;;\-#,##0&quot; €&quot;;\-"/>
    <numFmt numFmtId="168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6B6258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6258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7F3EC"/>
      </patternFill>
    </fill>
    <fill>
      <patternFill patternType="solid">
        <fgColor rgb="FF2A2520"/>
        <bgColor rgb="FF333300"/>
      </patternFill>
    </fill>
    <fill>
      <patternFill patternType="solid">
        <fgColor rgb="FFE3EFE7"/>
        <bgColor rgb="FFF7F3EC"/>
      </patternFill>
    </fill>
    <fill>
      <patternFill patternType="solid">
        <fgColor rgb="FFF7F3E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A2520"/>
          <bgColor rgb="FF000000"/>
        </patternFill>
      </fill>
    </dxf>
    <dxf>
      <fill>
        <patternFill patternType="solid">
          <fgColor rgb="FFE3EFE7"/>
          <bgColor rgb="FF000000"/>
        </patternFill>
      </fill>
    </dxf>
    <dxf>
      <fill>
        <patternFill patternType="solid">
          <fgColor rgb="FFF7F3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2BF"/>
      <rgbColor rgb="FF808080"/>
      <rgbColor rgb="FF9999FF"/>
      <rgbColor rgb="FF993366"/>
      <rgbColor rgb="FFFFF2CC"/>
      <rgbColor rgb="FFE3EFE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3E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25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5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118712.fr/annuaire/region/ile-de-france/grossiste-pierres-naturelles" TargetMode="External"/><Relationship Id="rId3" Type="http://schemas.openxmlformats.org/officeDocument/2006/relationships/hyperlink" Target="https://www.118712.fr/annuaire/region/ile-de-france/grossiste-pierres-naturelles" TargetMode="External"/><Relationship Id="rId4" Type="http://schemas.openxmlformats.org/officeDocument/2006/relationships/hyperlink" Target="https://www.118712.fr/annuaire/region/ile-de-france/grossiste-pierres-naturelles" TargetMode="External"/><Relationship Id="rId5" Type="http://schemas.openxmlformats.org/officeDocument/2006/relationships/hyperlink" Target="https://www.118712.fr/annuaire/region/ile-de-france/grossiste-pierres-naturelles" TargetMode="External"/><Relationship Id="rId6" Type="http://schemas.openxmlformats.org/officeDocument/2006/relationships/hyperlink" Target="https://www.pagesjaunes.fr/pros/60994953" TargetMode="External"/><Relationship Id="rId7" Type="http://schemas.openxmlformats.org/officeDocument/2006/relationships/hyperlink" Target="https://www.118712.fr/annuaire/region/ile-de-france/grossiste-pierres-naturelles" TargetMode="External"/><Relationship Id="rId8" Type="http://schemas.openxmlformats.org/officeDocument/2006/relationships/hyperlink" Target="https://travaux.obat.fr/marbrier/ile-de-france" TargetMode="External"/><Relationship Id="rId9" Type="http://schemas.openxmlformats.org/officeDocument/2006/relationships/hyperlink" Target="https://www.118712.fr/annuaire/departement/hauts-de-seine/entreprise-paysagiste" TargetMode="External"/><Relationship Id="rId10" Type="http://schemas.openxmlformats.org/officeDocument/2006/relationships/hyperlink" Target="https://www.118712.fr/annuaire/departement/hauts-de-seine/entreprise-paysagiste" TargetMode="External"/><Relationship Id="rId11" Type="http://schemas.openxmlformats.org/officeDocument/2006/relationships/hyperlink" Target="https://www.118712.fr/annuaire/departement/hauts-de-seine/entreprise-paysagiste" TargetMode="External"/><Relationship Id="rId12" Type="http://schemas.openxmlformats.org/officeDocument/2006/relationships/hyperlink" Target="https://www.118712.fr/annuaire/departement/hauts-de-seine/entreprise-paysagiste" TargetMode="External"/><Relationship Id="rId13" Type="http://schemas.openxmlformats.org/officeDocument/2006/relationships/hyperlink" Target="https://www.118712.fr/annuaire/departement/hauts-de-seine/entreprise-paysagiste" TargetMode="External"/><Relationship Id="rId14" Type="http://schemas.openxmlformats.org/officeDocument/2006/relationships/hyperlink" Target="https://www.118712.fr/annuaire/departement/hauts-de-seine/entreprise-paysagiste" TargetMode="External"/><Relationship Id="rId15" Type="http://schemas.openxmlformats.org/officeDocument/2006/relationships/hyperlink" Target="https://www.diffazur.fr/en/?p=26192" TargetMode="External"/><Relationship Id="rId16" Type="http://schemas.openxmlformats.org/officeDocument/2006/relationships/hyperlink" Target="https://travaux.obat.fr/amenagements-exterieurs/normandie" TargetMode="External"/><Relationship Id="rId17" Type="http://schemas.openxmlformats.org/officeDocument/2006/relationships/hyperlink" Target="https://travaux.obat.fr/amenagements-exterieurs/normandie" TargetMode="External"/><Relationship Id="rId18" Type="http://schemas.openxmlformats.org/officeDocument/2006/relationships/hyperlink" Target="https://travaux.obat.fr/amenagements-exterieurs/normandie" TargetMode="External"/><Relationship Id="rId19" Type="http://schemas.openxmlformats.org/officeDocument/2006/relationships/hyperlink" Target="https://travaux.obat.fr/amenagements-exterieurs/normandie" TargetMode="External"/><Relationship Id="rId20" Type="http://schemas.openxmlformats.org/officeDocument/2006/relationships/hyperlink" Target="https://travaux.obat.fr/amenagements-exterieurs/normandie" TargetMode="External"/><Relationship Id="rId21" Type="http://schemas.openxmlformats.org/officeDocument/2006/relationships/hyperlink" Target="https://travaux.obat.fr/amenagements-exterieurs/le-havre" TargetMode="External"/><Relationship Id="rId22" Type="http://schemas.openxmlformats.org/officeDocument/2006/relationships/hyperlink" Target="https://travaux.obat.fr/pose-carrelage-dallage-exterieur/hauts-de-seine" TargetMode="External"/><Relationship Id="rId23" Type="http://schemas.openxmlformats.org/officeDocument/2006/relationships/hyperlink" Target="https://travaux.obat.fr/amenagements-exterieurs/normandie" TargetMode="External"/><Relationship Id="rId24" Type="http://schemas.openxmlformats.org/officeDocument/2006/relationships/drawing" Target="../drawings/drawing1.xml"/><Relationship Id="rId25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eboncoin.fr/" TargetMode="External"/><Relationship Id="rId2" Type="http://schemas.openxmlformats.org/officeDocument/2006/relationships/hyperlink" Target="https://www.facebook.com/marketplace" TargetMode="External"/><Relationship Id="rId3" Type="http://schemas.openxmlformats.org/officeDocument/2006/relationships/hyperlink" Target="https://www.backacia.com/" TargetMode="External"/><Relationship Id="rId4" Type="http://schemas.openxmlformats.org/officeDocument/2006/relationships/hyperlink" Target="https://www.cycle-up.fr/" TargetMode="External"/><Relationship Id="rId5" Type="http://schemas.openxmlformats.org/officeDocument/2006/relationships/hyperlink" Target="https://www.google.com/business/" TargetMode="External"/><Relationship Id="rId6" Type="http://schemas.openxmlformats.org/officeDocument/2006/relationships/hyperlink" Target="https://shopify.dev/changelog/a-new-home-for-agentic-storefronts-in-your-admin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2" t="s">
        <v>2</v>
      </c>
      <c r="B4" s="2"/>
      <c r="C4" s="2"/>
    </row>
    <row r="5" customFormat="false" ht="15" hidden="false" customHeight="false" outlineLevel="0" collapsed="false">
      <c r="A5" s="2" t="s">
        <v>3</v>
      </c>
      <c r="B5" s="2"/>
      <c r="C5" s="2"/>
    </row>
    <row r="6" customFormat="false" ht="15" hidden="false" customHeight="false" outlineLevel="0" collapsed="false">
      <c r="A6" s="2" t="s">
        <v>4</v>
      </c>
      <c r="B6" s="2"/>
      <c r="C6" s="2"/>
    </row>
    <row r="7" customFormat="false" ht="15" hidden="false" customHeight="false" outlineLevel="0" collapsed="false">
      <c r="A7" s="2" t="s">
        <v>5</v>
      </c>
      <c r="B7" s="2"/>
      <c r="C7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  <c r="B10" s="5" t="s">
        <v>8</v>
      </c>
      <c r="C10" s="5"/>
    </row>
    <row r="11" customFormat="false" ht="15" hidden="false" customHeight="false" outlineLevel="0" collapsed="false">
      <c r="A11" s="4" t="s">
        <v>9</v>
      </c>
      <c r="B11" s="5" t="s">
        <v>10</v>
      </c>
      <c r="C11" s="5"/>
    </row>
    <row r="12" customFormat="false" ht="15" hidden="false" customHeight="false" outlineLevel="0" collapsed="false">
      <c r="A12" s="4" t="s">
        <v>11</v>
      </c>
      <c r="B12" s="5" t="s">
        <v>12</v>
      </c>
      <c r="C12" s="5"/>
    </row>
    <row r="13" customFormat="false" ht="15" hidden="false" customHeight="false" outlineLevel="0" collapsed="false">
      <c r="A13" s="4" t="s">
        <v>13</v>
      </c>
      <c r="B13" s="5" t="s">
        <v>14</v>
      </c>
      <c r="C13" s="5"/>
    </row>
    <row r="14" customFormat="false" ht="15" hidden="false" customHeight="false" outlineLevel="0" collapsed="false">
      <c r="A14" s="4" t="s">
        <v>15</v>
      </c>
      <c r="B14" s="5" t="s">
        <v>16</v>
      </c>
      <c r="C14" s="5"/>
    </row>
    <row r="16" customFormat="false" ht="15" hidden="false" customHeight="false" outlineLevel="0" collapsed="false">
      <c r="A16" s="6" t="s">
        <v>17</v>
      </c>
    </row>
    <row r="17" customFormat="false" ht="15" hidden="false" customHeight="false" outlineLevel="0" collapsed="false">
      <c r="A17" s="7" t="s">
        <v>7</v>
      </c>
      <c r="B17" s="7" t="s">
        <v>18</v>
      </c>
    </row>
    <row r="18" customFormat="false" ht="15" hidden="false" customHeight="false" outlineLevel="0" collapsed="false">
      <c r="A18" s="8" t="s">
        <v>19</v>
      </c>
      <c r="B18" s="8" t="n">
        <f aca="false">COUNTIF(Prospects!$I$2:$I$200,A18)</f>
        <v>22</v>
      </c>
    </row>
    <row r="19" customFormat="false" ht="15" hidden="false" customHeight="false" outlineLevel="0" collapsed="false">
      <c r="A19" s="8" t="s">
        <v>8</v>
      </c>
      <c r="B19" s="8" t="n">
        <f aca="false">COUNTIF(Prospects!$I$2:$I$200,A19)</f>
        <v>0</v>
      </c>
    </row>
    <row r="20" customFormat="false" ht="15" hidden="false" customHeight="false" outlineLevel="0" collapsed="false">
      <c r="A20" s="8" t="s">
        <v>20</v>
      </c>
      <c r="B20" s="8" t="n">
        <f aca="false">COUNTIF(Prospects!$I$2:$I$200,A20)</f>
        <v>0</v>
      </c>
    </row>
    <row r="21" customFormat="false" ht="15" hidden="false" customHeight="false" outlineLevel="0" collapsed="false">
      <c r="A21" s="8" t="s">
        <v>21</v>
      </c>
      <c r="B21" s="8" t="n">
        <f aca="false">COUNTIF(Prospects!$I$2:$I$200,A21)</f>
        <v>0</v>
      </c>
    </row>
    <row r="22" customFormat="false" ht="15" hidden="false" customHeight="false" outlineLevel="0" collapsed="false">
      <c r="A22" s="8" t="s">
        <v>22</v>
      </c>
      <c r="B22" s="8" t="n">
        <f aca="false">COUNTIF(Prospects!$I$2:$I$200,A22)</f>
        <v>0</v>
      </c>
    </row>
    <row r="23" customFormat="false" ht="15" hidden="false" customHeight="false" outlineLevel="0" collapsed="false">
      <c r="A23" s="8" t="s">
        <v>23</v>
      </c>
      <c r="B23" s="8" t="n">
        <f aca="false">COUNTIF(Prospects!$I$2:$I$200,A23)</f>
        <v>0</v>
      </c>
    </row>
    <row r="24" customFormat="false" ht="15" hidden="false" customHeight="false" outlineLevel="0" collapsed="false">
      <c r="A24" s="8" t="s">
        <v>24</v>
      </c>
      <c r="B24" s="8" t="n">
        <f aca="false">COUNTIF(Prospects!$I$2:$I$200,A24)</f>
        <v>0</v>
      </c>
    </row>
    <row r="25" customFormat="false" ht="15" hidden="false" customHeight="false" outlineLevel="0" collapsed="false">
      <c r="A25" s="3" t="s">
        <v>25</v>
      </c>
      <c r="B25" s="3" t="n">
        <f aca="false">COUNTA(Prospects!$D$2:$D$200)</f>
        <v>22</v>
      </c>
    </row>
    <row r="27" customFormat="false" ht="15" hidden="false" customHeight="false" outlineLevel="0" collapsed="false">
      <c r="A27" s="4" t="s">
        <v>26</v>
      </c>
      <c r="B27" s="9" t="n">
        <v>35</v>
      </c>
      <c r="C27" s="10" t="s">
        <v>27</v>
      </c>
    </row>
    <row r="28" customFormat="false" ht="15" hidden="false" customHeight="false" outlineLevel="0" collapsed="false">
      <c r="A28" s="4" t="s">
        <v>28</v>
      </c>
      <c r="B28" s="11" t="n">
        <f aca="false">SUM(Prospects!$M$2:$M$200)</f>
        <v>0</v>
      </c>
    </row>
    <row r="29" customFormat="false" ht="15" hidden="false" customHeight="false" outlineLevel="0" collapsed="false">
      <c r="A29" s="3" t="s">
        <v>29</v>
      </c>
      <c r="B29" s="12" t="n">
        <f aca="false">B28*B27</f>
        <v>0</v>
      </c>
    </row>
  </sheetData>
  <mergeCells count="10">
    <mergeCell ref="A3:C3"/>
    <mergeCell ref="A4:C4"/>
    <mergeCell ref="A5:C5"/>
    <mergeCell ref="A6:C6"/>
    <mergeCell ref="A7:C7"/>
    <mergeCell ref="B10:C10"/>
    <mergeCell ref="B11:C11"/>
    <mergeCell ref="B12:C12"/>
    <mergeCell ref="B13:C13"/>
    <mergeCell ref="B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48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36"/>
    <col collapsed="false" customWidth="true" hidden="false" outlineLevel="0" max="13" min="13" style="0" width="11"/>
  </cols>
  <sheetData>
    <row r="1" customFormat="false" ht="30" hidden="false" customHeight="true" outlineLevel="0" collapsed="false">
      <c r="A1" s="13" t="s">
        <v>30</v>
      </c>
      <c r="B1" s="13" t="s">
        <v>31</v>
      </c>
      <c r="C1" s="13" t="s">
        <v>32</v>
      </c>
      <c r="D1" s="13" t="s">
        <v>33</v>
      </c>
      <c r="E1" s="13" t="s">
        <v>34</v>
      </c>
      <c r="F1" s="13" t="s">
        <v>35</v>
      </c>
      <c r="G1" s="13" t="s">
        <v>36</v>
      </c>
      <c r="H1" s="13" t="s">
        <v>37</v>
      </c>
      <c r="I1" s="13" t="s">
        <v>7</v>
      </c>
      <c r="J1" s="13" t="s">
        <v>9</v>
      </c>
      <c r="K1" s="13" t="s">
        <v>11</v>
      </c>
      <c r="L1" s="13" t="s">
        <v>13</v>
      </c>
      <c r="M1" s="13" t="s">
        <v>15</v>
      </c>
    </row>
    <row r="2" customFormat="false" ht="23.85" hidden="false" customHeight="false" outlineLevel="0" collapsed="false">
      <c r="A2" s="14" t="n">
        <v>1</v>
      </c>
      <c r="B2" s="14" t="n">
        <v>1</v>
      </c>
      <c r="C2" s="14" t="s">
        <v>38</v>
      </c>
      <c r="D2" s="15" t="s">
        <v>39</v>
      </c>
      <c r="E2" s="14" t="s">
        <v>40</v>
      </c>
      <c r="F2" s="14" t="s">
        <v>41</v>
      </c>
      <c r="G2" s="14" t="s">
        <v>42</v>
      </c>
      <c r="H2" s="16" t="s">
        <v>43</v>
      </c>
      <c r="I2" s="17" t="s">
        <v>19</v>
      </c>
      <c r="J2" s="18"/>
      <c r="K2" s="17"/>
      <c r="L2" s="17"/>
      <c r="M2" s="19"/>
    </row>
    <row r="3" customFormat="false" ht="15" hidden="false" customHeight="false" outlineLevel="0" collapsed="false">
      <c r="A3" s="14" t="n">
        <v>2</v>
      </c>
      <c r="B3" s="14" t="n">
        <v>1</v>
      </c>
      <c r="C3" s="14" t="s">
        <v>38</v>
      </c>
      <c r="D3" s="15" t="s">
        <v>44</v>
      </c>
      <c r="E3" s="14" t="s">
        <v>45</v>
      </c>
      <c r="F3" s="14" t="s">
        <v>41</v>
      </c>
      <c r="G3" s="14" t="s">
        <v>46</v>
      </c>
      <c r="H3" s="16" t="s">
        <v>43</v>
      </c>
      <c r="I3" s="17" t="s">
        <v>19</v>
      </c>
      <c r="J3" s="18"/>
      <c r="K3" s="17"/>
      <c r="L3" s="17"/>
      <c r="M3" s="19"/>
    </row>
    <row r="4" customFormat="false" ht="15" hidden="false" customHeight="false" outlineLevel="0" collapsed="false">
      <c r="A4" s="14" t="n">
        <v>3</v>
      </c>
      <c r="B4" s="14" t="n">
        <v>1</v>
      </c>
      <c r="C4" s="14" t="s">
        <v>38</v>
      </c>
      <c r="D4" s="15" t="s">
        <v>47</v>
      </c>
      <c r="E4" s="14" t="s">
        <v>48</v>
      </c>
      <c r="F4" s="14" t="s">
        <v>41</v>
      </c>
      <c r="G4" s="14" t="s">
        <v>49</v>
      </c>
      <c r="H4" s="16" t="s">
        <v>43</v>
      </c>
      <c r="I4" s="17" t="s">
        <v>19</v>
      </c>
      <c r="J4" s="18"/>
      <c r="K4" s="17"/>
      <c r="L4" s="17"/>
      <c r="M4" s="19"/>
    </row>
    <row r="5" customFormat="false" ht="15" hidden="false" customHeight="false" outlineLevel="0" collapsed="false">
      <c r="A5" s="14" t="n">
        <v>4</v>
      </c>
      <c r="B5" s="14" t="n">
        <v>1</v>
      </c>
      <c r="C5" s="14" t="s">
        <v>38</v>
      </c>
      <c r="D5" s="15" t="s">
        <v>50</v>
      </c>
      <c r="E5" s="14" t="s">
        <v>51</v>
      </c>
      <c r="F5" s="14" t="s">
        <v>41</v>
      </c>
      <c r="G5" s="14" t="s">
        <v>52</v>
      </c>
      <c r="H5" s="16" t="s">
        <v>43</v>
      </c>
      <c r="I5" s="17" t="s">
        <v>19</v>
      </c>
      <c r="J5" s="18"/>
      <c r="K5" s="17"/>
      <c r="L5" s="17"/>
      <c r="M5" s="19"/>
    </row>
    <row r="6" customFormat="false" ht="23.85" hidden="false" customHeight="false" outlineLevel="0" collapsed="false">
      <c r="A6" s="14" t="n">
        <v>5</v>
      </c>
      <c r="B6" s="14" t="n">
        <v>1</v>
      </c>
      <c r="C6" s="14" t="s">
        <v>38</v>
      </c>
      <c r="D6" s="15" t="s">
        <v>53</v>
      </c>
      <c r="E6" s="14" t="s">
        <v>54</v>
      </c>
      <c r="F6" s="14" t="s">
        <v>55</v>
      </c>
      <c r="G6" s="14" t="s">
        <v>56</v>
      </c>
      <c r="H6" s="16" t="s">
        <v>43</v>
      </c>
      <c r="I6" s="17" t="s">
        <v>19</v>
      </c>
      <c r="J6" s="18"/>
      <c r="K6" s="17"/>
      <c r="L6" s="17"/>
      <c r="M6" s="19"/>
    </row>
    <row r="7" customFormat="false" ht="15" hidden="false" customHeight="false" outlineLevel="0" collapsed="false">
      <c r="A7" s="20" t="n">
        <v>6</v>
      </c>
      <c r="B7" s="20" t="n">
        <v>2</v>
      </c>
      <c r="C7" s="20" t="s">
        <v>57</v>
      </c>
      <c r="D7" s="21" t="s">
        <v>58</v>
      </c>
      <c r="E7" s="20" t="s">
        <v>59</v>
      </c>
      <c r="F7" s="20" t="s">
        <v>41</v>
      </c>
      <c r="G7" s="20" t="s">
        <v>60</v>
      </c>
      <c r="H7" s="16" t="s">
        <v>43</v>
      </c>
      <c r="I7" s="17" t="s">
        <v>19</v>
      </c>
      <c r="J7" s="18"/>
      <c r="K7" s="17"/>
      <c r="L7" s="17"/>
      <c r="M7" s="19"/>
    </row>
    <row r="8" customFormat="false" ht="23.85" hidden="false" customHeight="false" outlineLevel="0" collapsed="false">
      <c r="A8" s="20" t="n">
        <v>7</v>
      </c>
      <c r="B8" s="20" t="n">
        <v>2</v>
      </c>
      <c r="C8" s="20" t="s">
        <v>57</v>
      </c>
      <c r="D8" s="21" t="s">
        <v>61</v>
      </c>
      <c r="E8" s="20" t="s">
        <v>62</v>
      </c>
      <c r="F8" s="20" t="s">
        <v>41</v>
      </c>
      <c r="G8" s="20" t="s">
        <v>63</v>
      </c>
      <c r="H8" s="16" t="s">
        <v>43</v>
      </c>
      <c r="I8" s="17" t="s">
        <v>19</v>
      </c>
      <c r="J8" s="18"/>
      <c r="K8" s="17"/>
      <c r="L8" s="17"/>
      <c r="M8" s="19"/>
    </row>
    <row r="9" customFormat="false" ht="15" hidden="false" customHeight="false" outlineLevel="0" collapsed="false">
      <c r="A9" s="20" t="n">
        <v>8</v>
      </c>
      <c r="B9" s="20" t="n">
        <v>2</v>
      </c>
      <c r="C9" s="20" t="s">
        <v>64</v>
      </c>
      <c r="D9" s="21" t="s">
        <v>65</v>
      </c>
      <c r="E9" s="20" t="s">
        <v>66</v>
      </c>
      <c r="F9" s="20" t="s">
        <v>41</v>
      </c>
      <c r="G9" s="20" t="s">
        <v>67</v>
      </c>
      <c r="H9" s="16" t="s">
        <v>43</v>
      </c>
      <c r="I9" s="17" t="s">
        <v>19</v>
      </c>
      <c r="J9" s="18"/>
      <c r="K9" s="17"/>
      <c r="L9" s="17"/>
      <c r="M9" s="19"/>
    </row>
    <row r="10" customFormat="false" ht="15" hidden="false" customHeight="false" outlineLevel="0" collapsed="false">
      <c r="A10" s="20" t="n">
        <v>9</v>
      </c>
      <c r="B10" s="20" t="n">
        <v>2</v>
      </c>
      <c r="C10" s="20" t="s">
        <v>64</v>
      </c>
      <c r="D10" s="21" t="s">
        <v>68</v>
      </c>
      <c r="E10" s="20" t="s">
        <v>69</v>
      </c>
      <c r="F10" s="20" t="s">
        <v>41</v>
      </c>
      <c r="G10" s="20" t="s">
        <v>70</v>
      </c>
      <c r="H10" s="16" t="s">
        <v>43</v>
      </c>
      <c r="I10" s="17" t="s">
        <v>19</v>
      </c>
      <c r="J10" s="18"/>
      <c r="K10" s="17"/>
      <c r="L10" s="17"/>
      <c r="M10" s="19"/>
    </row>
    <row r="11" customFormat="false" ht="15" hidden="false" customHeight="false" outlineLevel="0" collapsed="false">
      <c r="A11" s="20" t="n">
        <v>10</v>
      </c>
      <c r="B11" s="20" t="n">
        <v>2</v>
      </c>
      <c r="C11" s="20" t="s">
        <v>64</v>
      </c>
      <c r="D11" s="21" t="s">
        <v>71</v>
      </c>
      <c r="E11" s="20" t="s">
        <v>72</v>
      </c>
      <c r="F11" s="20" t="s">
        <v>41</v>
      </c>
      <c r="G11" s="20" t="s">
        <v>73</v>
      </c>
      <c r="H11" s="16" t="s">
        <v>43</v>
      </c>
      <c r="I11" s="17" t="s">
        <v>19</v>
      </c>
      <c r="J11" s="18"/>
      <c r="K11" s="17"/>
      <c r="L11" s="17"/>
      <c r="M11" s="19"/>
    </row>
    <row r="12" customFormat="false" ht="23.85" hidden="false" customHeight="false" outlineLevel="0" collapsed="false">
      <c r="A12" s="20" t="n">
        <v>11</v>
      </c>
      <c r="B12" s="20" t="n">
        <v>2</v>
      </c>
      <c r="C12" s="20" t="s">
        <v>64</v>
      </c>
      <c r="D12" s="21" t="s">
        <v>74</v>
      </c>
      <c r="E12" s="20" t="s">
        <v>75</v>
      </c>
      <c r="F12" s="20" t="s">
        <v>41</v>
      </c>
      <c r="G12" s="20" t="s">
        <v>76</v>
      </c>
      <c r="H12" s="16" t="s">
        <v>43</v>
      </c>
      <c r="I12" s="17" t="s">
        <v>19</v>
      </c>
      <c r="J12" s="18"/>
      <c r="K12" s="17"/>
      <c r="L12" s="17"/>
      <c r="M12" s="19"/>
    </row>
    <row r="13" customFormat="false" ht="23.85" hidden="false" customHeight="false" outlineLevel="0" collapsed="false">
      <c r="A13" s="20" t="n">
        <v>12</v>
      </c>
      <c r="B13" s="20" t="n">
        <v>2</v>
      </c>
      <c r="C13" s="20" t="s">
        <v>64</v>
      </c>
      <c r="D13" s="21" t="s">
        <v>77</v>
      </c>
      <c r="E13" s="20" t="s">
        <v>78</v>
      </c>
      <c r="F13" s="20" t="s">
        <v>41</v>
      </c>
      <c r="G13" s="20" t="s">
        <v>79</v>
      </c>
      <c r="H13" s="16" t="s">
        <v>43</v>
      </c>
      <c r="I13" s="17" t="s">
        <v>19</v>
      </c>
      <c r="J13" s="18"/>
      <c r="K13" s="17"/>
      <c r="L13" s="17"/>
      <c r="M13" s="19"/>
    </row>
    <row r="14" customFormat="false" ht="15" hidden="false" customHeight="false" outlineLevel="0" collapsed="false">
      <c r="A14" s="20" t="n">
        <v>13</v>
      </c>
      <c r="B14" s="20" t="n">
        <v>2</v>
      </c>
      <c r="C14" s="20" t="s">
        <v>64</v>
      </c>
      <c r="D14" s="21" t="s">
        <v>80</v>
      </c>
      <c r="E14" s="20" t="s">
        <v>81</v>
      </c>
      <c r="F14" s="20" t="s">
        <v>41</v>
      </c>
      <c r="G14" s="20" t="s">
        <v>82</v>
      </c>
      <c r="H14" s="16" t="s">
        <v>43</v>
      </c>
      <c r="I14" s="17" t="s">
        <v>19</v>
      </c>
      <c r="J14" s="18"/>
      <c r="K14" s="17"/>
      <c r="L14" s="17"/>
      <c r="M14" s="19"/>
    </row>
    <row r="15" customFormat="false" ht="23.85" hidden="false" customHeight="false" outlineLevel="0" collapsed="false">
      <c r="A15" s="20" t="n">
        <v>14</v>
      </c>
      <c r="B15" s="20" t="n">
        <v>2</v>
      </c>
      <c r="C15" s="20" t="s">
        <v>83</v>
      </c>
      <c r="D15" s="21" t="s">
        <v>84</v>
      </c>
      <c r="E15" s="20" t="s">
        <v>85</v>
      </c>
      <c r="F15" s="20" t="s">
        <v>41</v>
      </c>
      <c r="G15" s="20" t="s">
        <v>86</v>
      </c>
      <c r="H15" s="16" t="s">
        <v>43</v>
      </c>
      <c r="I15" s="17" t="s">
        <v>19</v>
      </c>
      <c r="J15" s="18"/>
      <c r="K15" s="17"/>
      <c r="L15" s="17"/>
      <c r="M15" s="19"/>
    </row>
    <row r="16" customFormat="false" ht="15" hidden="false" customHeight="false" outlineLevel="0" collapsed="false">
      <c r="A16" s="20" t="n">
        <v>15</v>
      </c>
      <c r="B16" s="20" t="n">
        <v>2</v>
      </c>
      <c r="C16" s="20" t="s">
        <v>64</v>
      </c>
      <c r="D16" s="21" t="s">
        <v>87</v>
      </c>
      <c r="E16" s="20" t="s">
        <v>88</v>
      </c>
      <c r="F16" s="20" t="s">
        <v>55</v>
      </c>
      <c r="G16" s="20" t="s">
        <v>89</v>
      </c>
      <c r="H16" s="16" t="s">
        <v>43</v>
      </c>
      <c r="I16" s="17" t="s">
        <v>19</v>
      </c>
      <c r="J16" s="18"/>
      <c r="K16" s="17"/>
      <c r="L16" s="17"/>
      <c r="M16" s="19"/>
    </row>
    <row r="17" customFormat="false" ht="15" hidden="false" customHeight="false" outlineLevel="0" collapsed="false">
      <c r="A17" s="20" t="n">
        <v>16</v>
      </c>
      <c r="B17" s="20" t="n">
        <v>2</v>
      </c>
      <c r="C17" s="20" t="s">
        <v>64</v>
      </c>
      <c r="D17" s="21" t="s">
        <v>90</v>
      </c>
      <c r="E17" s="20" t="s">
        <v>91</v>
      </c>
      <c r="F17" s="20" t="s">
        <v>55</v>
      </c>
      <c r="G17" s="20" t="s">
        <v>92</v>
      </c>
      <c r="H17" s="16" t="s">
        <v>43</v>
      </c>
      <c r="I17" s="17" t="s">
        <v>19</v>
      </c>
      <c r="J17" s="18"/>
      <c r="K17" s="17"/>
      <c r="L17" s="17"/>
      <c r="M17" s="19"/>
    </row>
    <row r="18" customFormat="false" ht="23.85" hidden="false" customHeight="false" outlineLevel="0" collapsed="false">
      <c r="A18" s="20" t="n">
        <v>17</v>
      </c>
      <c r="B18" s="20" t="n">
        <v>2</v>
      </c>
      <c r="C18" s="20" t="s">
        <v>93</v>
      </c>
      <c r="D18" s="21" t="s">
        <v>94</v>
      </c>
      <c r="E18" s="20" t="s">
        <v>95</v>
      </c>
      <c r="F18" s="20" t="s">
        <v>55</v>
      </c>
      <c r="G18" s="20" t="s">
        <v>96</v>
      </c>
      <c r="H18" s="16" t="s">
        <v>43</v>
      </c>
      <c r="I18" s="17" t="s">
        <v>19</v>
      </c>
      <c r="J18" s="18"/>
      <c r="K18" s="17"/>
      <c r="L18" s="17"/>
      <c r="M18" s="19"/>
    </row>
    <row r="19" customFormat="false" ht="15" hidden="false" customHeight="false" outlineLevel="0" collapsed="false">
      <c r="A19" s="20" t="n">
        <v>18</v>
      </c>
      <c r="B19" s="20" t="n">
        <v>2</v>
      </c>
      <c r="C19" s="20" t="s">
        <v>64</v>
      </c>
      <c r="D19" s="21" t="s">
        <v>97</v>
      </c>
      <c r="E19" s="20" t="s">
        <v>98</v>
      </c>
      <c r="F19" s="20" t="s">
        <v>55</v>
      </c>
      <c r="G19" s="20" t="s">
        <v>99</v>
      </c>
      <c r="H19" s="16" t="s">
        <v>43</v>
      </c>
      <c r="I19" s="17" t="s">
        <v>19</v>
      </c>
      <c r="J19" s="18"/>
      <c r="K19" s="17"/>
      <c r="L19" s="17"/>
      <c r="M19" s="19"/>
    </row>
    <row r="20" customFormat="false" ht="15" hidden="false" customHeight="false" outlineLevel="0" collapsed="false">
      <c r="A20" s="20" t="n">
        <v>19</v>
      </c>
      <c r="B20" s="20" t="n">
        <v>2</v>
      </c>
      <c r="C20" s="20" t="s">
        <v>100</v>
      </c>
      <c r="D20" s="21" t="s">
        <v>101</v>
      </c>
      <c r="E20" s="20" t="s">
        <v>102</v>
      </c>
      <c r="F20" s="20" t="s">
        <v>55</v>
      </c>
      <c r="G20" s="20" t="s">
        <v>103</v>
      </c>
      <c r="H20" s="16" t="s">
        <v>43</v>
      </c>
      <c r="I20" s="17" t="s">
        <v>19</v>
      </c>
      <c r="J20" s="18"/>
      <c r="K20" s="17"/>
      <c r="L20" s="17"/>
      <c r="M20" s="19"/>
    </row>
    <row r="21" customFormat="false" ht="23.85" hidden="false" customHeight="false" outlineLevel="0" collapsed="false">
      <c r="A21" s="20" t="n">
        <v>20</v>
      </c>
      <c r="B21" s="20" t="n">
        <v>2</v>
      </c>
      <c r="C21" s="20" t="s">
        <v>64</v>
      </c>
      <c r="D21" s="21" t="s">
        <v>104</v>
      </c>
      <c r="E21" s="20" t="s">
        <v>105</v>
      </c>
      <c r="F21" s="20" t="s">
        <v>55</v>
      </c>
      <c r="G21" s="20" t="s">
        <v>106</v>
      </c>
      <c r="H21" s="16" t="s">
        <v>43</v>
      </c>
      <c r="I21" s="17" t="s">
        <v>19</v>
      </c>
      <c r="J21" s="18"/>
      <c r="K21" s="17"/>
      <c r="L21" s="17"/>
      <c r="M21" s="19"/>
    </row>
    <row r="22" customFormat="false" ht="23.85" hidden="false" customHeight="false" outlineLevel="0" collapsed="false">
      <c r="A22" s="22" t="n">
        <v>21</v>
      </c>
      <c r="B22" s="22" t="n">
        <v>3</v>
      </c>
      <c r="C22" s="22" t="s">
        <v>107</v>
      </c>
      <c r="D22" s="23" t="s">
        <v>108</v>
      </c>
      <c r="E22" s="22" t="s">
        <v>109</v>
      </c>
      <c r="F22" s="22" t="s">
        <v>41</v>
      </c>
      <c r="G22" s="22" t="s">
        <v>110</v>
      </c>
      <c r="H22" s="16" t="s">
        <v>43</v>
      </c>
      <c r="I22" s="17" t="s">
        <v>19</v>
      </c>
      <c r="J22" s="18"/>
      <c r="K22" s="17"/>
      <c r="L22" s="17"/>
      <c r="M22" s="19"/>
    </row>
    <row r="23" customFormat="false" ht="15" hidden="false" customHeight="false" outlineLevel="0" collapsed="false">
      <c r="A23" s="22" t="n">
        <v>22</v>
      </c>
      <c r="B23" s="22" t="n">
        <v>3</v>
      </c>
      <c r="C23" s="22" t="s">
        <v>64</v>
      </c>
      <c r="D23" s="23" t="s">
        <v>111</v>
      </c>
      <c r="E23" s="22" t="s">
        <v>105</v>
      </c>
      <c r="F23" s="22" t="s">
        <v>55</v>
      </c>
      <c r="G23" s="22" t="s">
        <v>112</v>
      </c>
      <c r="H23" s="16" t="s">
        <v>43</v>
      </c>
      <c r="I23" s="17" t="s">
        <v>19</v>
      </c>
      <c r="J23" s="18"/>
      <c r="K23" s="17"/>
      <c r="L23" s="17"/>
      <c r="M23" s="19"/>
    </row>
  </sheetData>
  <autoFilter ref="A1:M23"/>
  <dataValidations count="2">
    <dataValidation allowBlank="true" error="Choisissez un statut dans la liste." errorStyle="stop" errorTitle="Statut" operator="between" showDropDown="false" showErrorMessage="false" showInputMessage="false" sqref="I2:I200" type="list">
      <formula1>"À contacter,Contacté,Intéressé,Échantillon / visite,Devis envoyé,Vendu,Pas intéressé"</formula1>
      <formula2>0</formula2>
    </dataValidation>
    <dataValidation allowBlank="true" errorStyle="stop" operator="greaterThanOrEqual" showDropDown="false" showErrorMessage="false" showInputMessage="false" sqref="M2:M200" type="decimal">
      <formula1>0</formula1>
      <formula2>0</formula2>
    </dataValidation>
  </dataValidations>
  <hyperlinks>
    <hyperlink ref="H2" r:id="rId2" display="Voir la fiche"/>
    <hyperlink ref="H3" r:id="rId3" display="Voir la fiche"/>
    <hyperlink ref="H4" r:id="rId4" display="Voir la fiche"/>
    <hyperlink ref="H5" r:id="rId5" display="Voir la fiche"/>
    <hyperlink ref="H6" r:id="rId6" display="Voir la fiche"/>
    <hyperlink ref="H7" r:id="rId7" display="Voir la fiche"/>
    <hyperlink ref="H8" r:id="rId8" display="Voir la fiche"/>
    <hyperlink ref="H9" r:id="rId9" display="Voir la fiche"/>
    <hyperlink ref="H10" r:id="rId10" display="Voir la fiche"/>
    <hyperlink ref="H11" r:id="rId11" display="Voir la fiche"/>
    <hyperlink ref="H12" r:id="rId12" display="Voir la fiche"/>
    <hyperlink ref="H13" r:id="rId13" display="Voir la fiche"/>
    <hyperlink ref="H14" r:id="rId14" display="Voir la fiche"/>
    <hyperlink ref="H15" r:id="rId15" display="Voir la fiche"/>
    <hyperlink ref="H16" r:id="rId16" display="Voir la fiche"/>
    <hyperlink ref="H17" r:id="rId17" display="Voir la fiche"/>
    <hyperlink ref="H18" r:id="rId18" display="Voir la fiche"/>
    <hyperlink ref="H19" r:id="rId19" display="Voir la fiche"/>
    <hyperlink ref="H20" r:id="rId20" display="Voir la fiche"/>
    <hyperlink ref="H21" r:id="rId21" display="Voir la fiche"/>
    <hyperlink ref="H22" r:id="rId22" display="Voir la fiche"/>
    <hyperlink ref="H23" r:id="rId23" display="Voir la fich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  <legacyDrawing r:id="rId2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3" min="3" style="0" width="58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24" t="s">
        <v>113</v>
      </c>
      <c r="B1" s="24" t="s">
        <v>114</v>
      </c>
      <c r="C1" s="24" t="s">
        <v>115</v>
      </c>
      <c r="D1" s="24" t="s">
        <v>116</v>
      </c>
    </row>
    <row r="2" customFormat="false" ht="35.05" hidden="false" customHeight="false" outlineLevel="0" collapsed="false">
      <c r="A2" s="23" t="s">
        <v>117</v>
      </c>
      <c r="B2" s="22" t="s">
        <v>118</v>
      </c>
      <c r="C2" s="22" t="s">
        <v>119</v>
      </c>
      <c r="D2" s="16" t="s">
        <v>120</v>
      </c>
    </row>
    <row r="3" customFormat="false" ht="23.85" hidden="false" customHeight="false" outlineLevel="0" collapsed="false">
      <c r="A3" s="23" t="s">
        <v>121</v>
      </c>
      <c r="B3" s="22" t="s">
        <v>122</v>
      </c>
      <c r="C3" s="22" t="s">
        <v>123</v>
      </c>
      <c r="D3" s="16" t="s">
        <v>124</v>
      </c>
    </row>
    <row r="4" customFormat="false" ht="35.05" hidden="false" customHeight="false" outlineLevel="0" collapsed="false">
      <c r="A4" s="23" t="s">
        <v>125</v>
      </c>
      <c r="B4" s="22" t="s">
        <v>126</v>
      </c>
      <c r="C4" s="22" t="s">
        <v>127</v>
      </c>
      <c r="D4" s="16" t="s">
        <v>128</v>
      </c>
    </row>
    <row r="5" customFormat="false" ht="23.85" hidden="false" customHeight="false" outlineLevel="0" collapsed="false">
      <c r="A5" s="23" t="s">
        <v>129</v>
      </c>
      <c r="B5" s="22" t="s">
        <v>130</v>
      </c>
      <c r="C5" s="22" t="s">
        <v>131</v>
      </c>
      <c r="D5" s="16" t="s">
        <v>132</v>
      </c>
    </row>
    <row r="6" customFormat="false" ht="23.85" hidden="false" customHeight="false" outlineLevel="0" collapsed="false">
      <c r="A6" s="23" t="s">
        <v>133</v>
      </c>
      <c r="B6" s="22" t="s">
        <v>134</v>
      </c>
      <c r="C6" s="22" t="s">
        <v>135</v>
      </c>
      <c r="D6" s="16" t="s">
        <v>136</v>
      </c>
    </row>
    <row r="7" customFormat="false" ht="35.05" hidden="false" customHeight="false" outlineLevel="0" collapsed="false">
      <c r="A7" s="23" t="s">
        <v>137</v>
      </c>
      <c r="B7" s="22" t="s">
        <v>138</v>
      </c>
      <c r="C7" s="22" t="s">
        <v>139</v>
      </c>
      <c r="D7" s="16" t="s">
        <v>140</v>
      </c>
    </row>
    <row r="8" customFormat="false" ht="23.85" hidden="false" customHeight="false" outlineLevel="0" collapsed="false">
      <c r="A8" s="23" t="s">
        <v>141</v>
      </c>
      <c r="B8" s="22" t="s">
        <v>142</v>
      </c>
      <c r="C8" s="22" t="s">
        <v>143</v>
      </c>
      <c r="D8" s="22"/>
    </row>
  </sheetData>
  <hyperlinks>
    <hyperlink ref="D2" r:id="rId1" display="https://www.leboncoin.fr"/>
    <hyperlink ref="D3" r:id="rId2" display="https://www.facebook.com/marketplace"/>
    <hyperlink ref="D4" r:id="rId3" display="https://www.backacia.com"/>
    <hyperlink ref="D5" r:id="rId4" display="https://www.cycle-up.fr"/>
    <hyperlink ref="D6" r:id="rId5" display="https://www.google.com/business/"/>
    <hyperlink ref="D7" r:id="rId6" display="https://shopify.dev/changelog/a-new-home-for-agentic-storefronts-in-your-adm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2026-10-08T17:07:38Z</dcterms:created>
  <dc:creator>openpyxl</dc:creator>
  <dc:description/>
  <dc:language>en-US</dc:language>
  <cp:lastModifiedBy/>
  <dcterms:modified xsi:type="dcterms:W3CDTF">2026-10-08T17:07:38Z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