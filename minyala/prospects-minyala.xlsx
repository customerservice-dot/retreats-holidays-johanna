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n"/>
      <c r="P2" s="55" t="n"/>
      <c r="Q2" s="56">
        <f>'Mode d''emploi'!$B$29</f>
        <v/>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À contacter</t>
        </is>
      </c>
      <c r="M6" s="54" t="n"/>
      <c r="N6" s="53" t="inlineStr">
        <is>
          <t>Prochain contact depuis la boîte Gmail (pas Hotmail), après fusion du suivi</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t>
        </is>
      </c>
      <c r="P25" s="55" t="n"/>
      <c r="Q25" s="56">
        <f>'Mode d''emploi'!$B$29</f>
        <v/>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À contacter</t>
        </is>
      </c>
      <c r="M31" s="54" t="n"/>
      <c r="N31" s="53" t="n"/>
      <c r="O31" s="53" t="inlineStr">
        <is>
          <t>[13/10] Lien « Envoyer un e-mail » de la page Notre agence (Coignières).</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À contacter</t>
        </is>
      </c>
      <c r="M36" s="54" t="n"/>
      <c r="N36" s="53" t="n"/>
      <c r="O36" s="53" t="inlineStr">
        <is>
          <t>[13/10] Page agence de Caen du site Pillaud.</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À contacter</t>
        </is>
      </c>
      <c r="M37" s="54" t="n"/>
      <c r="N37" s="53" t="n"/>
      <c r="O37" s="53" t="inlineStr">
        <is>
          <t>[13/10] Affiché en forme anti-spam « info[@]torchio.fr » sur les mentions légales du site.</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n"/>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n"/>
      <c r="P119" s="55" t="n"/>
      <c r="Q119" s="56">
        <f>'Mode d''emploi'!$B$29</f>
        <v/>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n"/>
      <c r="P121" s="55" t="n"/>
      <c r="Q121" s="56">
        <f>'Mode d''emploi'!$B$29</f>
        <v/>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À contacter</t>
        </is>
      </c>
      <c r="M124" s="54" t="n"/>
      <c r="N124" s="53" t="inlineStr">
        <is>
          <t>Prochain contact depuis la boîte Gmail (pas Hotmail), après fusion du suivi</t>
        </is>
      </c>
      <c r="O124" s="53" t="inlineStr">
        <is>
          <t>[13/10] Tentative depuis Hotmail rejetée EN SORTIE (5.7.520 : contenu classé spam par Microsoft) — message non remis ; l'adresse n'est pas forcément invalide. Prochain contact depuis la boîte Gmail, nouveau modèle, jamais depuis Hotmail.</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n"/>
      <c r="P125" s="55" t="n"/>
      <c r="Q125" s="56">
        <f>'Mode d''emploi'!$B$29</f>
        <v/>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n"/>
      <c r="P127" s="55" t="n"/>
      <c r="Q127" s="56">
        <f>'Mode d''emploi'!$B$29</f>
        <v/>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À contacter</t>
        </is>
      </c>
      <c r="M128" s="54" t="n"/>
      <c r="N128" s="53" t="inlineStr">
        <is>
          <t>Prochain contact depuis la boîte Gmail (pas Hotmail), après fusion du suivi</t>
        </is>
      </c>
      <c r="O128" s="53" t="inlineStr">
        <is>
          <t>[13/10] Tentative depuis Hotmail rejetée EN SORTIE (5.7.520 : contenu classé spam par Microsoft) — message non remis ; l'adresse n'est pas forcément invalide. Prochain contact depuis la boîte Gmail, nouveau modèle, jamais depuis Hotmail.</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n"/>
      <c r="P129" s="55" t="n"/>
      <c r="Q129" s="56">
        <f>'Mode d''emploi'!$B$29</f>
        <v/>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n"/>
      <c r="P132" s="55" t="n"/>
      <c r="Q132" s="56">
        <f>'Mode d''emploi'!$B$29</f>
        <v/>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n"/>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n"/>
      <c r="P136" s="55" t="n"/>
      <c r="Q136" s="56">
        <f>'Mode d''emploi'!$B$29</f>
        <v/>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t="n">
        <v>203</v>
      </c>
      <c r="B203" t="inlineStr">
        <is>
          <t>StoneContact</t>
        </is>
      </c>
      <c r="C203" t="n">
        <v>2</v>
      </c>
      <c r="D203" t="inlineStr">
        <is>
          <t>À qualifier</t>
        </is>
      </c>
      <c r="E203" t="inlineStr">
        <is>
          <t>Teodosiu (demande StoneContact — travertin)</t>
        </is>
      </c>
      <c r="F203" t="inlineStr">
        <is>
          <t>À préciser</t>
        </is>
      </c>
      <c r="G203" t="inlineStr">
        <is>
          <t>À préciser</t>
        </is>
      </c>
      <c r="H203" t="inlineStr">
        <is>
          <t>Cherche du travertin : MINYALA en substitution possible.</t>
        </is>
      </c>
      <c r="K203" t="inlineStr">
        <is>
          <t>StoneContact</t>
        </is>
      </c>
      <c r="L203" s="32" t="inlineStr">
        <is>
          <t>À contacter</t>
        </is>
      </c>
      <c r="N203" t="inlineStr">
        <is>
          <t>Répondre via StoneContact avec le message « alternative travertin » (reponses-pistes-2026-10.md) ; noter la date ici</t>
        </is>
      </c>
      <c r="O203"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t="n">
        <v>204</v>
      </c>
      <c r="B204" t="inlineStr">
        <is>
          <t>StoneContact</t>
        </is>
      </c>
      <c r="C204" t="n">
        <v>2</v>
      </c>
      <c r="D204" t="inlineStr">
        <is>
          <t>À qualifier</t>
        </is>
      </c>
      <c r="E204" t="inlineStr">
        <is>
          <t>Cristina (demande StoneContact — travertin)</t>
        </is>
      </c>
      <c r="F204" t="inlineStr">
        <is>
          <t>À préciser</t>
        </is>
      </c>
      <c r="G204" t="inlineStr">
        <is>
          <t>À préciser</t>
        </is>
      </c>
      <c r="H204" t="inlineStr">
        <is>
          <t>Cherche du travertin : MINYALA en substitution possible.</t>
        </is>
      </c>
      <c r="K204" t="inlineStr">
        <is>
          <t>StoneContact</t>
        </is>
      </c>
      <c r="L204" s="32" t="inlineStr">
        <is>
          <t>À contacter</t>
        </is>
      </c>
      <c r="N204" t="inlineStr">
        <is>
          <t>Répondre via StoneContact avec le message « alternative travertin » (reponses-pistes-2026-10.md) ; noter la date ici</t>
        </is>
      </c>
      <c r="O204"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2026-10-15T13:36:16Z</dcterms:modified>
  <cp:revision>0</cp:revision>
</cp:coreProperties>
</file>