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èse" sheetId="1" state="visible" r:id="rId3"/>
    <sheet name="Tous les clients" sheetId="2" state="visible" r:id="rId4"/>
    <sheet name="Où trouver des particuliers" sheetId="3" state="visible" r:id="rId5"/>
    <sheet name="Plateformes pros" sheetId="4" state="visible" r:id="rId6"/>
    <sheet name="Groupes Facebook" sheetId="5" state="visible" r:id="rId7"/>
    <sheet name="Contacts particuliers" sheetId="6" state="visible" r:id="rId8"/>
  </sheets>
  <definedNames>
    <definedName function="false" hidden="true" localSheetId="1" name="_xlnm._FilterDatabase" vbProcedure="false">'Tous les clients'!$A$1:$P$250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<sst xmlns="http://schemas.openxmlformats.org/spreadsheetml/2006/main" count="3252" uniqueCount="1489">
  <si>
    <t xml:space="preserve">Clients potentiels MINYALA — au 13/10/2026</t>
  </si>
  <si>
    <t xml:space="preserve">Photo à date, sans tarif professionnel : peut être partagée ou analysée (par exemple dans ChatGPT). Le suivi au jour le jour reste dans prospects-minyala.xlsx.</t>
  </si>
  <si>
    <t xml:space="preserve">Clients potentiels</t>
  </si>
  <si>
    <t xml:space="preserve">Total</t>
  </si>
  <si>
    <t xml:space="preserve">Pros France — Île-de-France</t>
  </si>
  <si>
    <t xml:space="preserve">Pros France — Normandie</t>
  </si>
  <si>
    <t xml:space="preserve">Acheteurs export (demandes RFQ)</t>
  </si>
  <si>
    <t xml:space="preserve">Priorité 1</t>
  </si>
  <si>
    <t xml:space="preserve">Contactés (statut ≠ À contacter / À étudier)</t>
  </si>
  <si>
    <t xml:space="preserve">Par type d'acheteur (pros France)</t>
  </si>
  <si>
    <t xml:space="preserve">Paysagiste</t>
  </si>
  <si>
    <t xml:space="preserve">Pisciniste</t>
  </si>
  <si>
    <t xml:space="preserve">Négoce / revendeur</t>
  </si>
  <si>
    <t xml:space="preserve">Showroom carrelage</t>
  </si>
  <si>
    <t xml:space="preserve">Marbrerie</t>
  </si>
  <si>
    <t xml:space="preserve">Carreleur / poseur pierre</t>
  </si>
  <si>
    <t xml:space="preserve">Rénovation haut de gamme</t>
  </si>
  <si>
    <t xml:space="preserve">Constructeur de maisons</t>
  </si>
  <si>
    <t xml:space="preserve">Architecte d'intérieur</t>
  </si>
  <si>
    <t xml:space="preserve">Spa / hammam</t>
  </si>
  <si>
    <t xml:space="preserve">Jardinerie / matériaux paysage</t>
  </si>
  <si>
    <t xml:space="preserve">Maître d'œuvre</t>
  </si>
  <si>
    <t xml:space="preserve">Hôtel / restaurant</t>
  </si>
  <si>
    <t xml:space="preserve">Architecte</t>
  </si>
  <si>
    <t xml:space="preserve">Promoteur</t>
  </si>
  <si>
    <t xml:space="preserve">Travaux publics / VRD</t>
  </si>
  <si>
    <t xml:space="preserve">Salle de bains</t>
  </si>
  <si>
    <t xml:space="preserve">Entreprise bâtiment</t>
  </si>
  <si>
    <t xml:space="preserve">Canaux de vente — vérification au 13/10/2026</t>
  </si>
  <si>
    <t xml:space="preserve">Canal</t>
  </si>
  <si>
    <t xml:space="preserve">Verdict</t>
  </si>
  <si>
    <t xml:space="preserve">Pourquoi</t>
  </si>
  <si>
    <t xml:space="preserve">Guide</t>
  </si>
  <si>
    <t xml:space="preserve">Professionnels France (e-mail, téléphone, visite)</t>
  </si>
  <si>
    <t xml:space="preserve">OUI — priorité</t>
  </si>
  <si>
    <t xml:space="preserve">197 entreprises vérifiées (négoces, showrooms, marbreries, piscinistes, paysagistes…). Message prêt dans kit-de-vente.md, section 4. Autorisé si le message concerne leur métier, avec possibilité de refuser.</t>
  </si>
  <si>
    <t xml:space="preserve">kit-de-vente.md</t>
  </si>
  <si>
    <t xml:space="preserve">Leboncoin (compte Pro)</t>
  </si>
  <si>
    <t xml:space="preserve">OUI — une annonce, après vraies photos et IDU</t>
  </si>
  <si>
    <t xml:space="preserve">Compte Pro gratuit, 50 dépôts offerts. Une annonce à Gennevilliers, lot de 25 m² à 875 €. Pas de lien vers la boutique ni de paiement en ligne Leboncoin pour l'instant (12 % de commission, 14 jours de rétractation).</t>
  </si>
  <si>
    <t xml:space="preserve">leboncoin.md</t>
  </si>
  <si>
    <t xml:space="preserve">Facebook et Instagram</t>
  </si>
  <si>
    <t xml:space="preserve">OUI, après correction des CGV du site</t>
  </si>
  <si>
    <t xml:space="preserve">Page, publicités locales et groupes avec accord des admins. Publication Instagram prête (en attente de votre accord).</t>
  </si>
  <si>
    <t xml:space="preserve">facebook-instagram.md</t>
  </si>
  <si>
    <t xml:space="preserve">Demandes RFQ (StoneAdd, StoneContact…)</t>
  </si>
  <si>
    <t xml:space="preserve">À étudier</t>
  </si>
  <si>
    <t xml:space="preserve">52 demandes d'acheteurs étrangers ; 5 à forte correspondance. Attention aux arnaques (avance de frais, faux justificatifs).</t>
  </si>
  <si>
    <t xml:space="preserve">rfq-kit.md</t>
  </si>
  <si>
    <t xml:space="preserve">AlloVoisins</t>
  </si>
  <si>
    <t xml:space="preserve">NON (au plus l'essai gratuit)</t>
  </si>
  <si>
    <t xml:space="preserve">Compte pro gratuit : aucune réponse possible. Premier : 12 mois d'engagement, dès 29,99 €/mois ou 99,99 € HT/mois. Demandes locales = pose, pas achat de pierre.</t>
  </si>
  <si>
    <t xml:space="preserve">allovoisins.md</t>
  </si>
  <si>
    <t xml:space="preserve">Amazon</t>
  </si>
  <si>
    <t xml:space="preserve">NON pour l'instant</t>
  </si>
  <si>
    <t xml:space="preserve">Lots de 25 m² (≈ 1,25 t) inadaptés : pas de retrait, livraison lourde sur invitation, commission de 13–15 % aussi sur le port ; il reste 8 à 19 €/m² HT contre 29 € en vente directe. Au mieux plus tard : un échantillon en colis.</t>
  </si>
  <si>
    <t xml:space="preserve">amazon.md</t>
  </si>
  <si>
    <t xml:space="preserve">ChatGPT (via Shopify)</t>
  </si>
  <si>
    <t xml:space="preserve">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</si>
  <si>
    <t xml:space="preserve">ZIM (fret maritime)</t>
  </si>
  <si>
    <t xml:space="preserve">Import, pas un canal de vente</t>
  </si>
  <si>
    <t xml:space="preserve">Pour faire venir un conteneur Damiette → Le Havre : ≈ 450–485 m² par 20', droits 0 % avec EUR.1.</t>
  </si>
  <si>
    <t xml:space="preserve">fret-zim.md</t>
  </si>
  <si>
    <t xml:space="preserve">À régler avant de vendre (tous canaux)</t>
  </si>
  <si>
    <t xml:space="preserve">•</t>
  </si>
  <si>
    <t xml:space="preserve">Activité : le registre indique un entrepreneur individuel en 85.51Z (enseignement sports et loisirs). Ajouter l'achat-revente de pierre.</t>
  </si>
  <si>
    <t xml:space="preserve">TVA : si franchise de TVA, remplacer « HT / TTC » par « TVA non applicable, art. 293 B du CGI » partout (prix public et tarif pro).</t>
  </si>
  <si>
    <t xml:space="preserve">Pose : seulement avec qualification de carreleur ET assurance décennale. Sinon : « pierre seule, pose par votre carreleur ».</t>
  </si>
  <si>
    <t xml:space="preserve">Filière REP des matériaux de construction : adhérer à un éco-organisme et obtenir l'IDU (demandé par Leboncoin, à mettre dans les CGV).</t>
  </si>
  <si>
    <t xml:space="preserve">Site : conditions de vente, rétractation (avec bouton de rétractation en ligne depuis le 19/06/2026), mentions légales et confidentialité en français avant d'envoyer des particuliers au paiement.</t>
  </si>
  <si>
    <t xml:space="preserve">Produit : vraies photos du stock ; déclaration des performances (DoP) et marquage CE à demander au fournisseur.</t>
  </si>
  <si>
    <t xml:space="preserve">N°</t>
  </si>
  <si>
    <t xml:space="preserve">Catégorie</t>
  </si>
  <si>
    <t xml:space="preserve">Priorité</t>
  </si>
  <si>
    <t xml:space="preserve">Type</t>
  </si>
  <si>
    <t xml:space="preserve">Entreprise ou demande</t>
  </si>
  <si>
    <t xml:space="preserve">Ville / pays</t>
  </si>
  <si>
    <t xml:space="preserve">Zone</t>
  </si>
  <si>
    <t xml:space="preserve">Pourquoi les contacter / ce qu'ils cherchent</t>
  </si>
  <si>
    <t xml:space="preserve">Site web</t>
  </si>
  <si>
    <t xml:space="preserve">Téléphone</t>
  </si>
  <si>
    <t xml:space="preserve">Source</t>
  </si>
  <si>
    <t xml:space="preserve">Statut</t>
  </si>
  <si>
    <t xml:space="preserve">Date du contact</t>
  </si>
  <si>
    <t xml:space="preserve">Prochaine action</t>
  </si>
  <si>
    <t xml:space="preserve">Notes</t>
  </si>
  <si>
    <t xml:space="preserve">Liste</t>
  </si>
  <si>
    <t xml:space="preserve">Pro France</t>
  </si>
  <si>
    <t xml:space="preserve">ABL Négoce</t>
  </si>
  <si>
    <t xml:space="preserve">Le Molay-Littry (14330)</t>
  </si>
  <si>
    <t xml:space="preserve">Normandie</t>
  </si>
  <si>
    <t xml:space="preserve">Négoce d'aménagement extérieur du Calvados qui vend déjà des pierres naturelles à des paysagistes, architectes et collectivités : il pourrait ajouter MINYALA à sa gamme.</t>
  </si>
  <si>
    <t xml:space="preserve">www.abl-negoce.fr</t>
  </si>
  <si>
    <t xml:space="preserve">02 31 22 96 12</t>
  </si>
  <si>
    <t xml:space="preserve">Voir</t>
  </si>
  <si>
    <t xml:space="preserve">À contacter</t>
  </si>
  <si>
    <t xml:space="preserve">3e liste (12/10)</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</si>
  <si>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</si>
  <si>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</si>
  <si>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</si>
  <si>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</si>
  <si>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</si>
  <si>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2e liste (12/10)</t>
  </si>
  <si>
    <t xml:space="preserve">Carrelages Dente</t>
  </si>
  <si>
    <t xml:space="preserve">Yvetot (76190)</t>
  </si>
  <si>
    <t xml:space="preserve">Spécialiste du carrelage à Yvetot depuis 1959, avec grand showroom, déstockage et pierres naturelles déjà en gamme : il pourrait acheter MINYALA en lot pour l'intérieur et la terrasse.</t>
  </si>
  <si>
    <t xml:space="preserve">www.carrelages-dente.fr</t>
  </si>
  <si>
    <t xml:space="preserve">02 35 56 87 87</t>
  </si>
  <si>
    <t xml:space="preserve">Le Comptoir du Sol</t>
  </si>
  <si>
    <t xml:space="preserve">Rouen et Dieppe (siège 76370 Neuville-lès-Dieppe)</t>
  </si>
  <si>
    <t xml:space="preserve">Showrooms carrelage et dallage, dont pierre naturelle et dallage terrasse.</t>
  </si>
  <si>
    <t xml:space="preserve">02 79 02 73 91</t>
  </si>
  <si>
    <t xml:space="preserve">1re liste (08/10)</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</si>
  <si>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</si>
  <si>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</si>
  <si>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</si>
  <si>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</si>
  <si>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</si>
  <si>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Midi Carrelage</t>
  </si>
  <si>
    <t xml:space="preserve">Sotteville-lès-Rouen (76300)</t>
  </si>
  <si>
    <t xml:space="preserve">Spécialiste carrelage et salle de bains depuis plus de 30 ans, avec espace pro et showroom, qui vend déjà du dallage en pierre, il pourrait référencer MINYALA pour ses clients artisans et particuliers.</t>
  </si>
  <si>
    <t xml:space="preserve">www.midi-carrelage.fr</t>
  </si>
  <si>
    <t xml:space="preserve">02 35 65 27 40</t>
  </si>
  <si>
    <t xml:space="preserve">Nivault</t>
  </si>
  <si>
    <t xml:space="preserve">Bénouville (14970)</t>
  </si>
  <si>
    <t xml:space="preserve">Magasin de carrelage près de Caen avec un showroom de 1 000 m² et une offre de dalles de terrasse : il pourrait exposer et revendre MINYALA en intérieur et en extérieur.</t>
  </si>
  <si>
    <t xml:space="preserve">www.nivault.com</t>
  </si>
  <si>
    <t xml:space="preserve">02 31 46 12 34</t>
  </si>
  <si>
    <t xml:space="preserve">Paysages Conseil – Agence de Caen</t>
  </si>
  <si>
    <t xml:space="preserve">Caen (14000)</t>
  </si>
  <si>
    <t xml:space="preserve">Gros paysagiste normand (75 compagnons, plusieurs agences) qui réalise des terrasses en pierre naturelle et des aménagements autour des piscines et spas, MINYALA pourrait servir sur ses chantiers (usage à valider avec lui : finition, gel, glissance, humidité).</t>
  </si>
  <si>
    <t xml:space="preserve">www.paysagesconseil.fr/paysagiste-caen</t>
  </si>
  <si>
    <t xml:space="preserve">02 31 68 69 68</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</si>
  <si>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</si>
  <si>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</si>
  <si>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</si>
  <si>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</si>
  <si>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</si>
  <si>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Sedelka</t>
  </si>
  <si>
    <t xml:space="preserve">Caen</t>
  </si>
  <si>
    <t xml:space="preserve">Promoteur avec un showroom dans chaque agence où les acquéreurs choisissent carrelage et parquet : MINYALA pourrait y entrer comme option de sol en pierre naturelle sur ses programmes normands.</t>
  </si>
  <si>
    <t xml:space="preserve">www.sedelka.fr</t>
  </si>
  <si>
    <t xml:space="preserve">02 31 08 34 88</t>
  </si>
  <si>
    <t xml:space="preserve">Solmur (agence d'Évreux)</t>
  </si>
  <si>
    <t xml:space="preserve">Agence d'un distributeur régional de revêtements qui vend déjà carrelage extérieur et travertin : elle pourrait revendre MINYALA à Évreux et dans l'Eure.</t>
  </si>
  <si>
    <t xml:space="preserve">www.solmur.fr</t>
  </si>
  <si>
    <t xml:space="preserve">Tendance Carrelage Rouen</t>
  </si>
  <si>
    <t xml:space="preserve">Rouen (76000)</t>
  </si>
  <si>
    <t xml:space="preserve">Showroom rouennais de carrelages et pierres naturelles qui vend déjà marbre et dalles de terrasse de 2 cm : il pourrait ajouter MINYALA à sa gamme pierre.</t>
  </si>
  <si>
    <t xml:space="preserve">www.tendancecarrelagesrouen.fr</t>
  </si>
  <si>
    <t xml:space="preserve">02 35 36 36 36</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</si>
  <si>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</si>
  <si>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</si>
  <si>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</si>
  <si>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</si>
  <si>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</si>
  <si>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Tragin SAS (Tragin et Associés)</t>
  </si>
  <si>
    <t xml:space="preserve">Pont-l'Évêque (14130)</t>
  </si>
  <si>
    <t xml:space="preserve">Entreprise familiale de pose fondée en 1956, avec 21 poseurs, qui pose marbres, pierres naturelles et terrasses sur plots pour des architectes et promoteurs de la Côte Fleurie : elle pourrait acheter MINYALA par lots (usage à valider avec lui : finition, gel, glissance, humidité).</t>
  </si>
  <si>
    <t xml:space="preserve">www.tragin-sa.com</t>
  </si>
  <si>
    <t xml:space="preserve">02 31 88 25 78</t>
  </si>
  <si>
    <t xml:space="preserve">Batimantes (showrooms carrelage et salle de bains)</t>
  </si>
  <si>
    <t xml:space="preserve">Colombes (92700)</t>
  </si>
  <si>
    <t xml:space="preserve">Île-de-France</t>
  </si>
  <si>
    <t xml:space="preserve">Distributeur avec plusieurs showrooms carrelage et salle de bains dans le 92, le 78 et le 95 : il pourrait ajouter MINYALA à son offre pour les sols intérieurs et les salles de bains.</t>
  </si>
  <si>
    <t xml:space="preserve">www.batimantes.fr</t>
  </si>
  <si>
    <t xml:space="preserve">01 47 82 82 36</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</si>
  <si>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</si>
  <si>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</si>
  <si>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 (usage à valider avec lui : finition, gel, glissance, humidité).</t>
  </si>
  <si>
    <t xml:space="preserve">coignieres.mondial-piscine.eu</t>
  </si>
  <si>
    <t xml:space="preserve">01 34 89 64 10</t>
  </si>
  <si>
    <t xml:space="preserve">BigMat Aubert Matériaux</t>
  </si>
  <si>
    <t xml:space="preserve">Mareil-sur-Mauldre (78124)</t>
  </si>
  <si>
    <t xml:space="preserve">Négoce BigMat des Yvelines doté de showrooms carrelage et aménagement extérieur, il pourrait stocker MINYALA pour ses artisans et ses clients particuliers.</t>
  </si>
  <si>
    <t xml:space="preserve">01 30 90 71 75</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</si>
  <si>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</si>
  <si>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</si>
  <si>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</si>
  <si>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</si>
  <si>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</si>
  <si>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</si>
  <si>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</si>
  <si>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</si>
  <si>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</si>
  <si>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</si>
  <si>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Carrelages Pedrazzini</t>
  </si>
  <si>
    <t xml:space="preserve">Voisenon (77950)</t>
  </si>
  <si>
    <t xml:space="preserve">Vend de la pierre naturelle, showroom et stock important : peut reprendre un gros lot.</t>
  </si>
  <si>
    <t xml:space="preserve">Ceramico</t>
  </si>
  <si>
    <t xml:space="preserve">Sarcelles (95200)</t>
  </si>
  <si>
    <t xml:space="preserve">Déstockeur de carrelage au gros stock qui vend déjà marbre, travertin et dallage en pierre naturelle, il est un acheteur naturel pour un lot de MINYALA disponible au tarif professionnel (sur devis).</t>
  </si>
  <si>
    <t xml:space="preserve">www.ceramico.fr</t>
  </si>
  <si>
    <t xml:space="preserve">01 86 04 82 15</t>
  </si>
  <si>
    <t xml:space="preserve">Décomarbre</t>
  </si>
  <si>
    <t xml:space="preserve">Bry-sur-Marne (94360)</t>
  </si>
  <si>
    <t xml:space="preserve">Marbrerie avec showroom qui garde un stock permanent de dallages et travaille déjà le travertin, elle pourrait ajouter MINYALA en 30×60 à son stock de dallages.</t>
  </si>
  <si>
    <t xml:space="preserve">www.decomarbre.fr</t>
  </si>
  <si>
    <t xml:space="preserve">01 48 81 28 49</t>
  </si>
  <si>
    <t xml:space="preserve">FLIPO</t>
  </si>
  <si>
    <t xml:space="preserve">Pantin (93500)</t>
  </si>
  <si>
    <t xml:space="preserve">Entreprise de Pantin dont le pôle carrelage et marbrerie pose pierre et marbre dans tous formats, y compris en espaces balnéo et pour l'hôtellerie : elle pourrait proposer MINYALA sur ses chantiers.</t>
  </si>
  <si>
    <t xml:space="preserve">flipo.fr</t>
  </si>
  <si>
    <t xml:space="preserve">01 48 91 20 50</t>
  </si>
  <si>
    <t xml:space="preserve">Gedimat Aux Docks de Clamart (Concept Store Sols &amp; Bains)</t>
  </si>
  <si>
    <t xml:space="preserve">Clamart (92140)</t>
  </si>
  <si>
    <t xml:space="preserve">Négoce Gedimat avec rayon pavés et dallages et un showroom Sols &amp; Bains, qui pourrait référencer MINYALA en dallage extérieur comme en sol intérieur.</t>
  </si>
  <si>
    <t xml:space="preserve">www.gedimat.fr/2264-magasin-gedimat-aux-docks-de-clamart-clamart.htm</t>
  </si>
  <si>
    <t xml:space="preserve">01 46 01 52 20</t>
  </si>
  <si>
    <t xml:space="preserve">Gedimat Sefor Houilles</t>
  </si>
  <si>
    <t xml:space="preserve">Houilles (78800)</t>
  </si>
  <si>
    <t xml:space="preserve">Grand négoce de 25 000 m² avec exposition revêtements, sols et terrasses et un responsable carrelage et aménagement extérieur : il pourrait acheter un lot de MINYALA pour ses clients pros et particuliers.</t>
  </si>
  <si>
    <t xml:space="preserve">www.gedimat.fr/2034-magasin-gedimat-sefor-houilles.htm</t>
  </si>
  <si>
    <t xml:space="preserve">01 39 57 10 10</t>
  </si>
  <si>
    <t xml:space="preserve">Kap Carrelage Domont</t>
  </si>
  <si>
    <t xml:space="preserve">Domont (95330)</t>
  </si>
  <si>
    <t xml:space="preserve">Showroom carrelage du Val-d'Oise qui vend aux particuliers et aux pros, pour terrasses et piscines, et fait du déstockage : il pourrait acheter MINYALA en lot pour le revendre (usage à valider avec lui : finition, gel, glissance, humidité).</t>
  </si>
  <si>
    <t xml:space="preserve">kap-carrelage.store</t>
  </si>
  <si>
    <t xml:space="preserve">01 30 18 50 14</t>
  </si>
  <si>
    <t xml:space="preserve">La Halle aux Pierres</t>
  </si>
  <si>
    <t xml:space="preserve">Gometz-le-Châtel (91940)</t>
  </si>
  <si>
    <t xml:space="preserve">Négoce de matériaux de construction.</t>
  </si>
  <si>
    <t xml:space="preserve">Le Holloco</t>
  </si>
  <si>
    <t xml:space="preserve">Négoce du Val-d'Oise avec trois agences, une offre de dalles et pavés pour l'extérieur et des espaces d'exposition carrelage : il pourrait référencer MINYALA.</t>
  </si>
  <si>
    <t xml:space="preserve">leholloco.com</t>
  </si>
  <si>
    <t xml:space="preserve">01 34 50 95 00</t>
  </si>
  <si>
    <t xml:space="preserve">Le Monde des Jardins</t>
  </si>
  <si>
    <t xml:space="preserve">Deuil-la-Barre (95170)</t>
  </si>
  <si>
    <t xml:space="preserve">Ce paysagiste du Val-d'Oise fait de la pierre naturelle son matériau de prédilection et utilise déjà un calcaire à patine dorée : MINYALA, de teinte crème, peut compléter sa gamme pour terrasses et dallages.</t>
  </si>
  <si>
    <t xml:space="preserve">lemondedesjardins.fr</t>
  </si>
  <si>
    <t xml:space="preserve">01 34 28 80 46</t>
  </si>
  <si>
    <t xml:space="preserve">MCA Matériaux Cuisines Aménagements (France Matériaux)</t>
  </si>
  <si>
    <t xml:space="preserve">Achères (78260)</t>
  </si>
  <si>
    <t xml:space="preserve">Négoce du réseau France Matériaux avec showroom carrelage et une offre aménagement extérieur : il pourrait proposer MINYALA à ses clients pros et particuliers.</t>
  </si>
  <si>
    <t xml:space="preserve">www.mca-materiaux.com</t>
  </si>
  <si>
    <t xml:space="preserve">01 30 06 00 07</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</si>
  <si>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</si>
  <si>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</si>
  <si>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 (usage à valider avec lui : finition, gel, glissance, humidité).</t>
  </si>
  <si>
    <t xml:space="preserve">www.mdy-france.com</t>
  </si>
  <si>
    <t xml:space="preserve">01 39 24 17 17</t>
  </si>
  <si>
    <t xml:space="preserve">Marbrier Pierre Taille (MPT)</t>
  </si>
  <si>
    <t xml:space="preserve">Chilly-Mazarin (91380)</t>
  </si>
  <si>
    <t xml:space="preserve">Fournisseur-poseur de pierres naturelles en sols et façades, avec des références hôtelières : il pourrait acheter MINYALA par lots pour ses dallages.</t>
  </si>
  <si>
    <t xml:space="preserve">www.mpt-marbrier.fr</t>
  </si>
  <si>
    <t xml:space="preserve">01 69 74 12 80</t>
  </si>
  <si>
    <t xml:space="preserve">Natou Pierre</t>
  </si>
  <si>
    <t xml:space="preserve">Paris 17e (75017)</t>
  </si>
  <si>
    <t xml:space="preserve">Fourniture et pose de pierre.</t>
  </si>
  <si>
    <t xml:space="preserve">PMC Marbrerie (Pierres Marbreries Carrelages)</t>
  </si>
  <si>
    <t xml:space="preserve">Montigny-lès-Cormeilles (95370)</t>
  </si>
  <si>
    <t xml:space="preserve">Cette marbrerie du Val-d'Oise vend déjà dallages et pierres naturelles depuis plus de 30 ans, donc un calcaire en stock au tarif professionnel (sur devis) peut compléter son offre de sols.</t>
  </si>
  <si>
    <t xml:space="preserve">www.pmc-marbrerie.com</t>
  </si>
  <si>
    <t xml:space="preserve">01 39 89 79 30</t>
  </si>
  <si>
    <t xml:space="preserve">Paco</t>
  </si>
  <si>
    <t xml:space="preserve">Courcouronnes (91080)</t>
  </si>
  <si>
    <t xml:space="preserve">Marbrerie et vente de carrelage et de dallage.</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</si>
  <si>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</si>
  <si>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</si>
  <si>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</si>
  <si>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</si>
  <si>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</si>
  <si>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</si>
  <si>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</si>
  <si>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</si>
  <si>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</si>
  <si>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</si>
  <si>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Pierlux</t>
  </si>
  <si>
    <t xml:space="preserve">Auvers-Saint-Georges (91580)</t>
  </si>
  <si>
    <t xml:space="preserve">Négociant en pierres naturelles et matériaux d'aménagement extérieur qui fournit artisans, paysagistes et architectes, il pourrait référencer MINYALA dans sa gamme de dallages.</t>
  </si>
  <si>
    <t xml:space="preserve">www.pierluxpierrenaturelle.fr</t>
  </si>
  <si>
    <t xml:space="preserve">Pierres Nat'</t>
  </si>
  <si>
    <t xml:space="preserve">Linas (91310)</t>
  </si>
  <si>
    <t xml:space="preserve">Revendeur de pierre naturelle depuis 1994 avec un showroom extérieur de 2 500 m² et une clientèle de professionnels et de particuliers, il pourrait revendre MINYALA en dallage de terrasse et d'allée.</t>
  </si>
  <si>
    <t xml:space="preserve">pierres-nat.com</t>
  </si>
  <si>
    <t xml:space="preserve">01 69 80 68 15</t>
  </si>
  <si>
    <t xml:space="preserve">Qua Ceramic</t>
  </si>
  <si>
    <t xml:space="preserve">Piscop (95350)</t>
  </si>
  <si>
    <t xml:space="preserve">Revendeur de carrelages et dallages pour terrasses et piscines qui propose déjà travertin et pierre : un calcaire crème comme MINYALA pourrait compléter sa gamme (usage à valider avec lui : finition, gel, glissance, humidité).</t>
  </si>
  <si>
    <t xml:space="preserve">Raboni (Le Studio Raboni)</t>
  </si>
  <si>
    <t xml:space="preserve">Boulogne-Billancourt (92100)</t>
  </si>
  <si>
    <t xml:space="preserve">Négoce francilien multi-agences avec un showroom carrelage (Studio Raboni) et une offre de carrelages et dallages, capable de référencer un lot de MINYALA pour ses clients pros et particuliers.</t>
  </si>
  <si>
    <t xml:space="preserve">raboni.fr</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</si>
  <si>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</si>
  <si>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</si>
  <si>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</si>
  <si>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</si>
  <si>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</si>
  <si>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</si>
  <si>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</si>
  <si>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</si>
  <si>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</si>
  <si>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</si>
  <si>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ABG Allée - Jardin - Terrasse</t>
  </si>
  <si>
    <t xml:space="preserve">Vexin-sur-Epte (27630)</t>
  </si>
  <si>
    <t xml:space="preserve">Terrassement, maçonnerie et aménagement extérieur.</t>
  </si>
  <si>
    <t xml:space="preserve">Architéa Pays d'Auge - Côte Fleurie</t>
  </si>
  <si>
    <t xml:space="preserve">Saint-Julien-de-Mailloc (14290)</t>
  </si>
  <si>
    <t xml:space="preserve">Contractant général qui rénove manoirs, hôtels et restaurants de prestige et crée des piscines avec terrasses en matériaux nobles : il pourrait prescrire MINYALA pour les sols et abords de piscine (usage à valider avec lui : finition, gel, glissance, humidité).</t>
  </si>
  <si>
    <t xml:space="preserve">www.architea.fr/architea-pays-auge-cote-fleurie</t>
  </si>
  <si>
    <t xml:space="preserve">02 52 56 30 33</t>
  </si>
  <si>
    <t xml:space="preserve">Arcytis (Ollivier Bidon-Maraboeuf)</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</si>
  <si>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</si>
  <si>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</si>
  <si>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</si>
  <si>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Argiles Décoration</t>
  </si>
  <si>
    <t xml:space="preserve">Les Préaux (27500)</t>
  </si>
  <si>
    <t xml:space="preserve">Entreprise générale de rénovation près de Pont-Audemer spécialisée dans les maisons anciennes et les sols en pierre ou en tomettes, elle pourrait utiliser MINYALA dans ses rénovations normandes.</t>
  </si>
  <si>
    <t xml:space="preserve">www.argilesdecoration.com</t>
  </si>
  <si>
    <t xml:space="preserve">06 76 31 86 41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</si>
  <si>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</si>
  <si>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</si>
  <si>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</si>
  <si>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</si>
  <si>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</si>
  <si>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</si>
  <si>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</si>
  <si>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</si>
  <si>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</si>
  <si>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</si>
  <si>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</si>
  <si>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</si>
  <si>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</si>
  <si>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</si>
  <si>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</si>
  <si>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Bertrand Dufour Paysages</t>
  </si>
  <si>
    <t xml:space="preserve">Trouville-sur-Mer (14360)</t>
  </si>
  <si>
    <t xml:space="preserve">Paysagiste de Trouville qui réalise allées pavées, dallage de jardin et aménagements autour des piscines : MINYALA pourrait servir en terrasse et en abords de piscine selon la finition et la pose (usage à valider avec lui : finition, gel, glissance, humidité).</t>
  </si>
  <si>
    <t xml:space="preserve">06 58 42 48 61</t>
  </si>
  <si>
    <t xml:space="preserve">Bien-Être &amp; Confort</t>
  </si>
  <si>
    <t xml:space="preserve">Bretteville-l'Orgueilleuse (14740)</t>
  </si>
  <si>
    <t xml:space="preserve">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</si>
  <si>
    <t xml:space="preserve">www.bienetreconfort.fr</t>
  </si>
  <si>
    <t xml:space="preserve">02 31 51 15 70</t>
  </si>
  <si>
    <t xml:space="preserve">BigMat Guillot et Cie</t>
  </si>
  <si>
    <t xml:space="preserve">Ézy-sur-Eure (27530)</t>
  </si>
  <si>
    <t xml:space="preserve">Négoce BigMat de l'Eure avec rayons carrelage et aménagement extérieur tenus par des vendeurs spécialisés, il pourrait stocker MINYALA pour ses artisans et ses particuliers.</t>
  </si>
  <si>
    <t xml:space="preserve">02 37 64 71 47</t>
  </si>
  <si>
    <t xml:space="preserve">Bohin Jardin</t>
  </si>
  <si>
    <t xml:space="preserve">Bacqueville-en-Caux (76730)</t>
  </si>
  <si>
    <t xml:space="preserve">Ce constructeur de piscines béton haut de gamme de Seine-Maritime réalise déjà des terrasses et plages de piscine en grandes dalles, un usage possible de MINYALA selon finition et pose.</t>
  </si>
  <si>
    <t xml:space="preserve">www.bohinjardin.fr</t>
  </si>
  <si>
    <t xml:space="preserve">02 34 88 23 41</t>
  </si>
  <si>
    <t xml:space="preserve">Boivent Paysages</t>
  </si>
  <si>
    <t xml:space="preserve">Touques (14800)</t>
  </si>
  <si>
    <t xml:space="preserve">Paysagiste certifié Qualipaysage installé près de Deauville qui réalise dallage de jardin, maçonnerie paysagère et terrasses, MINYALA pourrait lui servir en terrasses et allées.</t>
  </si>
  <si>
    <t xml:space="preserve">06 85 98 62 55</t>
  </si>
  <si>
    <t xml:space="preserve">Cailloux Drive Caen</t>
  </si>
  <si>
    <t xml:space="preserve">Blainville-sur-Orne (14550)</t>
  </si>
  <si>
    <t xml:space="preserve">Dépôt de matériaux d'aménagement extérieur classé en pierres naturelles, qui vend déjà pavés et ardoise : il pourrait proposer MINYALA en dalles de terrasse et d'allée.</t>
  </si>
  <si>
    <t xml:space="preserve">07 86 00 01 06</t>
  </si>
  <si>
    <t xml:space="preserve">Concept Intérieur</t>
  </si>
  <si>
    <t xml:space="preserve">Deauville (14800)</t>
  </si>
  <si>
    <t xml:space="preserve">Ce maître d'œuvre de Deauville réalise des terrasses, des piscines et des rénovations : il peut prescrire MINYALA en dallage de terrasse ou en plage de piscine (usage à valider avec lui : finition, gel, glissance, humidité).</t>
  </si>
  <si>
    <t xml:space="preserve">www.conceptinterieurdeauville.com</t>
  </si>
  <si>
    <t xml:space="preserve">02 31 88 44 75</t>
  </si>
  <si>
    <t xml:space="preserve">Delalande Piscines &amp; Spas</t>
  </si>
  <si>
    <t xml:space="preserve">Pisciniste de la Côte Fleurie avec showrooms à Deauville et Pont-l'Évêque, il propose margelles et terrasses autour de piscines haut de gamme où MINYALA a sa place (usage à valider avec lui : finition, gel, glissance, humidité).</t>
  </si>
  <si>
    <t xml:space="preserve">www.piscines-delalande.fr</t>
  </si>
  <si>
    <t xml:space="preserve">02 31 88 85 00</t>
  </si>
  <si>
    <t xml:space="preserve">Delpic TP</t>
  </si>
  <si>
    <t xml:space="preserve">Rives-en-Seine (76490)</t>
  </si>
  <si>
    <t xml:space="preserve">Travaux publics et aménagements extérieurs : projets de plus grande surface.</t>
  </si>
  <si>
    <t xml:space="preserve">Entreprise Poupart</t>
  </si>
  <si>
    <t xml:space="preserve">Lisieux (14100)</t>
  </si>
  <si>
    <t xml:space="preserve">Entreprise de Lisieux spécialisée dans la vente et la pose de carrelages et de dallages : elle pourrait ajouter une pierre naturelle comme MINYALA à son offre dans le Pays d'Auge.</t>
  </si>
  <si>
    <t xml:space="preserve">02 31 31 65 00</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</si>
  <si>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</si>
  <si>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</si>
  <si>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</si>
  <si>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</si>
  <si>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Frédérick Hanache</t>
  </si>
  <si>
    <t xml:space="preserve">La Vaupalière (76150)</t>
  </si>
  <si>
    <t xml:space="preserve">Artisan près de Rouen qui travaille marbre, granit et pierre naturelle pour des salles de bains et cuisines et pose des dallages : MINYALA pourrait lui servir pour les sols et les murs.</t>
  </si>
  <si>
    <t xml:space="preserve">02 35 74 19 61</t>
  </si>
  <si>
    <t xml:space="preserve">GBT-Toktas</t>
  </si>
  <si>
    <t xml:space="preserve">Carreleur. Près de Rouen.</t>
  </si>
  <si>
    <t xml:space="preserve">GINI Carrelage</t>
  </si>
  <si>
    <t xml:space="preserve">Rouen (76100)</t>
  </si>
  <si>
    <t xml:space="preserve">Showroom carrelage et salle de bains rouennais doté d'une rubrique déstockage et promotions, il pourrait proposer MINYALA à prix stock à ses clients.</t>
  </si>
  <si>
    <t xml:space="preserve">ginicarrelage.fr</t>
  </si>
  <si>
    <t xml:space="preserve">07 70 78 63 48</t>
  </si>
  <si>
    <t xml:space="preserve">GUERIN Parcs et Jardins</t>
  </si>
  <si>
    <t xml:space="preserve">Saint-Vaast-en-Auge (14640)</t>
  </si>
  <si>
    <t xml:space="preserve">Paysagiste de la Côte Fleurie qui a déjà réalisé une terrasse en travertin à Villers-sur-Mer et aménage les abords de piscines, il pourrait poser MINYALA en terrasses et allées (usage à valider avec lui : finition, gel, glissance, humidité).</t>
  </si>
  <si>
    <t xml:space="preserve">www.paysagiste-auberville.fr</t>
  </si>
  <si>
    <t xml:space="preserve">02 31 50 55 55</t>
  </si>
  <si>
    <t xml:space="preserve">Gouellain</t>
  </si>
  <si>
    <t xml:space="preserve">Maromme (76150)</t>
  </si>
  <si>
    <t xml:space="preserve">Paysagiste, création d'espaces extérieurs. Près de Rouen.</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</si>
  <si>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</si>
  <si>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</si>
  <si>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</si>
  <si>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</si>
  <si>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</si>
  <si>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Honnet Constructions</t>
  </si>
  <si>
    <t xml:space="preserve">Bourg-Achard (27310)</t>
  </si>
  <si>
    <t xml:space="preserve">Constructeur de maisons normandes à colombages et en pierre, qui fait aussi rénovation et extensions : MINYALA pourrait servir pour les sols et terrasses de ses constructions.</t>
  </si>
  <si>
    <t xml:space="preserve">www.honnetconstructions.fr</t>
  </si>
  <si>
    <t xml:space="preserve">02 44 10 03 40</t>
  </si>
  <si>
    <t xml:space="preserve">Jardin Passions</t>
  </si>
  <si>
    <t xml:space="preserve">Bois-Guillaume (76230)</t>
  </si>
  <si>
    <t xml:space="preserve">Ce pisciniste rouennais construit des terrasses périphériques en bois ou en pierre autour de ses piscines, MINYALA peut y être proposé selon finition et pose.</t>
  </si>
  <si>
    <t xml:space="preserve">www.jardinpassions.fr</t>
  </si>
  <si>
    <t xml:space="preserve">02 35 59 19 40</t>
  </si>
  <si>
    <t xml:space="preserve">La Roche Taillée</t>
  </si>
  <si>
    <t xml:space="preserve">Cet atelier rouennais de taille de pierre vend déjà dallages et margelles de piscine en calcaire : il peut proposer MINYALA brut à sa clientèle (usage à valider avec lui : finition, gel, glissance, humidité).</t>
  </si>
  <si>
    <t xml:space="preserve">www.la-roche-taillee.fr</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</si>
  <si>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</si>
  <si>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</si>
  <si>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 (usage à valider avec lui : finition, gel, glissance, humidité).</t>
  </si>
  <si>
    <t xml:space="preserve">www.larcher.fr</t>
  </si>
  <si>
    <t xml:space="preserve">02 58 06 00 30</t>
  </si>
  <si>
    <t xml:space="preserve">Les Demeures de Province</t>
  </si>
  <si>
    <t xml:space="preserve">Constructeur familial normand (plus de 4 000 maisons, 5 agences) qui personnalise chaque maison : il pourrait proposer MINYALA en option de sol ou de terrasse.</t>
  </si>
  <si>
    <t xml:space="preserve">www.lesdemeuresdeprovince.fr</t>
  </si>
  <si>
    <t xml:space="preserve">02 32 62 81 62</t>
  </si>
  <si>
    <t xml:space="preserve">Les Piscines Moreau</t>
  </si>
  <si>
    <t xml:space="preserve">Franqueville-Saint-Pierre (76520)</t>
  </si>
  <si>
    <t xml:space="preserve">Ce pisciniste rouennais rénove margelles et plages : MINYALA peut remplacer d'anciennes plages lors de ses chantiers (usage à valider avec lui : finition, gel, glissance, humidité).</t>
  </si>
  <si>
    <t xml:space="preserve">www.lespiscinesmoreau.com</t>
  </si>
  <si>
    <t xml:space="preserve">02 34 88 22 88</t>
  </si>
  <si>
    <t xml:space="preserve">Mabire Paysages</t>
  </si>
  <si>
    <t xml:space="preserve">Octeville-sur-Mer (76930)</t>
  </si>
  <si>
    <t xml:space="preserve">Paysagiste pour particuliers et professionnels. Près du Havre.</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</si>
  <si>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</si>
  <si>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</si>
  <si>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</si>
  <si>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</si>
  <si>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</si>
  <si>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Maisons Lucas</t>
  </si>
  <si>
    <t xml:space="preserve">Isneauville (76230)</t>
  </si>
  <si>
    <t xml:space="preserve">Constructeur rouennais qui ne fait que du sur mesure avec un positionnement premium et des maisons de 115 à 400 m², il pourrait proposer MINYALA pour les sols et terrasses de ses grandes maisons.</t>
  </si>
  <si>
    <t xml:space="preserve">www.maisonslucas.fr</t>
  </si>
  <si>
    <t xml:space="preserve">02 35 34 35 55</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</si>
  <si>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</si>
  <si>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</si>
  <si>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 (usage à valider avec lui : finition, gel, glissance, humidité).</t>
  </si>
  <si>
    <t xml:space="preserve">www.marbresettendances.com</t>
  </si>
  <si>
    <t xml:space="preserve">02 35 05 22 24</t>
  </si>
  <si>
    <t xml:space="preserve">Matériaux Dubos</t>
  </si>
  <si>
    <t xml:space="preserve">Brionne (27800)</t>
  </si>
  <si>
    <t xml:space="preserve">Négoce de matériaux de l'Eure classé en pierres naturelles, qui fait aussi de l'aménagement extérieur : il pourrait référencer MINYALA pour terrasses et allées.</t>
  </si>
  <si>
    <t xml:space="preserve">Motte Décoration</t>
  </si>
  <si>
    <t xml:space="preserve">Le Pré-d'Auge (14340)</t>
  </si>
  <si>
    <t xml:space="preserve">Petite marbrerie du Pays d'Auge qui vend aussi carrelages et dallages et travaille la pierre naturelle pour salles de bains et cuisines : elle pourrait revendre ou poser MINYALA.</t>
  </si>
  <si>
    <t xml:space="preserve">02 31 32 22 00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</si>
  <si>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</si>
  <si>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</si>
  <si>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</si>
  <si>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</si>
  <si>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</si>
  <si>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Piolain Carrelage</t>
  </si>
  <si>
    <t xml:space="preserve">Saint-Manvieu-Norrey (14740)</t>
  </si>
  <si>
    <t xml:space="preserve">Carreleur caennais qui pose déjà dallages en pierre naturelle et marbre, il pourrait poser MINYALA sur ses chantiers intérieurs et extérieurs.</t>
  </si>
  <si>
    <t xml:space="preserve">www.piolain-carrelage.fr</t>
  </si>
  <si>
    <t xml:space="preserve">02 31 25 21 95</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</si>
  <si>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</si>
  <si>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</si>
  <si>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 (usage à valider avec lui : finition, gel, glissance, humidité).</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</si>
  <si>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</si>
  <si>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</si>
  <si>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</si>
  <si>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</si>
  <si>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 (usage à valider avec lui : finition, gel, glissance, humidité).</t>
  </si>
  <si>
    <t xml:space="preserve">www.piscinesetabrisnordouest.fr</t>
  </si>
  <si>
    <t xml:space="preserve">02 34 88 21 04</t>
  </si>
  <si>
    <t xml:space="preserve">Rpay Jardins &amp; Design</t>
  </si>
  <si>
    <t xml:space="preserve">Firfol (14100)</t>
  </si>
  <si>
    <t xml:space="preserve">Ce paysagiste haut de gamme du Pays d'Auge construit des piscines et pose margelles et terrasses : MINYALA convient pour ses plages et ses patios (usage à valider avec lui : finition, gel, glissance, humidité).</t>
  </si>
  <si>
    <t xml:space="preserve">www.rpay.fr</t>
  </si>
  <si>
    <t xml:space="preserve">SARL A.C. Paysages</t>
  </si>
  <si>
    <t xml:space="preserve">Yville-sur-Seine (76530)</t>
  </si>
  <si>
    <t xml:space="preserve">Maçonnerie paysagère (terrasses, allées).</t>
  </si>
  <si>
    <t xml:space="preserve">SARL Foyer Dumouchel</t>
  </si>
  <si>
    <t xml:space="preserve">Villers-sur-Mer (14640)</t>
  </si>
  <si>
    <t xml:space="preserve">Paysagiste de la côte du Calvados qui pose dallages, terrasses en pierre et tours de piscine pour des résidences secondaires : bon débouché pour MINYALA en extérieur (usage à valider avec lui : finition, gel, glissance, humidité).</t>
  </si>
  <si>
    <t xml:space="preserve">www.dumouchel.fr</t>
  </si>
  <si>
    <t xml:space="preserve">02 31 24 65 20</t>
  </si>
  <si>
    <t xml:space="preserve">VMA</t>
  </si>
  <si>
    <t xml:space="preserve">Entreprise de rénovation voisine de Deauville (salles de bains, cuisines, terrasses en pierres naturelles) : elle pourrait utiliser MINYALA sur ses chantiers de la Côte Fleurie.</t>
  </si>
  <si>
    <t xml:space="preserve">www.vma14.com</t>
  </si>
  <si>
    <t xml:space="preserve">02 31 98 21 53</t>
  </si>
  <si>
    <t xml:space="preserve">Vincent Locquet</t>
  </si>
  <si>
    <t xml:space="preserve">Le Torpt (27210)</t>
  </si>
  <si>
    <t xml:space="preserve">Constructeur de piscines près de Honfleur qui pose des terrasses en pierre naturelle et installe des hammams : il pourrait utiliser MINYALA pour ses plages et ses espaces bien-être (usage à valider avec lui : finition, gel, glissance, humidité).</t>
  </si>
  <si>
    <t xml:space="preserve">www.vincent-locquet.fr</t>
  </si>
  <si>
    <t xml:space="preserve">02 32 41 00 91</t>
  </si>
  <si>
    <t xml:space="preserve">Volkaert Constructions</t>
  </si>
  <si>
    <t xml:space="preserve">Constructeur de maisons normandes haut de gamme sur la Côte Fleurie, qui fait aussi extensions et terrasses : MINYALA pourrait habiller les sols et terrasses de ses chantiers.</t>
  </si>
  <si>
    <t xml:space="preserve">www.volkaert-constructions.fr</t>
  </si>
  <si>
    <t xml:space="preserve">02 31 98 55 58</t>
  </si>
  <si>
    <t xml:space="preserve">Yoann Lambert SARL (YL Carrelage)</t>
  </si>
  <si>
    <t xml:space="preserve">Gonfreville-l'Orcher (76700)</t>
  </si>
  <si>
    <t xml:space="preserve">Carreleur normand qui réalise des hammams et pose déjà de la pierre naturelle (Bourgogne, Comblanchien, marbre), il pourrait proposer MINYALA comme autre pierre claire à ses clients (usage à valider avec lui : finition, gel, glissance, humidité).</t>
  </si>
  <si>
    <t xml:space="preserve">yl-carrelage.fr</t>
  </si>
  <si>
    <t xml:space="preserve">02 35 41 74 30</t>
  </si>
  <si>
    <t xml:space="preserve">Agave Paysage</t>
  </si>
  <si>
    <t xml:space="preserve">Ce paysagiste parisien pose des dallages en pierre sur plots ou sur lit de sable pour des terrasses, à vérifier avec lui : un calcaire de 2 cm est déconseillé sur plots sans avis technique.</t>
  </si>
  <si>
    <t xml:space="preserve">agavepaysage.fr</t>
  </si>
  <si>
    <t xml:space="preserve">06 65 78 30 40</t>
  </si>
  <si>
    <t xml:space="preserve">Alinea Paysage</t>
  </si>
  <si>
    <t xml:space="preserve">Paysagiste établi depuis 2004. Voisin de Gennevilliers.</t>
  </si>
  <si>
    <t xml:space="preserve">Apex Paysage</t>
  </si>
  <si>
    <t xml:space="preserve">Bourg-la-Reine (92340)</t>
  </si>
  <si>
    <t xml:space="preserve">Aménagement de terrasses et pavage extérieur.</t>
  </si>
  <si>
    <t xml:space="preserve">Apis Florae</t>
  </si>
  <si>
    <t xml:space="preserve">Rueil-Malmaison (92500)</t>
  </si>
  <si>
    <t xml:space="preserve">Ce paysagiste de Rueil primé sur Houzz fait de la maçonnerie, des terrasses et des abords de piscine : il pourrait proposer MINYALA à ses clients (usage à valider avec lui : finition, gel, glissance, humidité).</t>
  </si>
  <si>
    <t xml:space="preserve">www.apisflorae.com</t>
  </si>
  <si>
    <t xml:space="preserve">01 86 90 59 31</t>
  </si>
  <si>
    <t xml:space="preserve">Aqua Garden</t>
  </si>
  <si>
    <t xml:space="preserve">Les Essarts-le-Roi (78690)</t>
  </si>
  <si>
    <t xml:space="preserve">Ce pisciniste fait aussi la maçonnerie et les aménagements extérieurs et paysagers : il peut poser MINYALA en plage ou en terrasse autour de ses bassins (usage à valider avec lui : finition, gel, glissance, humidité).</t>
  </si>
  <si>
    <t xml:space="preserve">aquagarden78.fr</t>
  </si>
  <si>
    <t xml:space="preserve">01 30 46 06 70</t>
  </si>
  <si>
    <t xml:space="preserve">Architéa Vallée de la Seine-Ouest</t>
  </si>
  <si>
    <t xml:space="preserve">Buchelay (78200)</t>
  </si>
  <si>
    <t xml:space="preserve">Contractant général du secteur Mantes-Vernon qui réalise extensions, cuisines, salles de bains, piscines et terrasses, dont des terrasses en pierre naturelle, il pourrait choisir MINYALA pour ses chantiers (usage à valider avec lui : finition, gel, glissance, humidité).</t>
  </si>
  <si>
    <t xml:space="preserve">www.architea.fr/architea-vallee-de-la-seine-ouest</t>
  </si>
  <si>
    <t xml:space="preserve">01 89 43 02 63</t>
  </si>
  <si>
    <t xml:space="preserve">Archivim</t>
  </si>
  <si>
    <t xml:space="preserve">Saint-Germain-en-Laye (78100)</t>
  </si>
  <si>
    <t xml:space="preserve">Constructeur de maisons individuelles haut de gamme sur mesure dans l'ouest francilien : ses maisons peuvent recevoir des sols et des terrasses en pierre naturelle comme MINYALA.</t>
  </si>
  <si>
    <t xml:space="preserve">www.archivim.fr</t>
  </si>
  <si>
    <t xml:space="preserve">01 39 58 56 20</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</si>
  <si>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</si>
  <si>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</si>
  <si>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</si>
  <si>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</si>
  <si>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</si>
  <si>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La Garenne-Colombes (92250)</t>
  </si>
  <si>
    <t xml:space="preserve">Ce paysagiste voisin de Gennevilliers pose des dallages de jardin et du pavage, MINYALA peut y être proposé selon finition et pose.</t>
  </si>
  <si>
    <t xml:space="preserve">www.atelier-concept-paysage.com</t>
  </si>
  <si>
    <t xml:space="preserve">01 56 83 10 45</t>
  </si>
  <si>
    <t xml:space="preserve">Badiaga Renov</t>
  </si>
  <si>
    <t xml:space="preserve">Paris 20e (75020)</t>
  </si>
  <si>
    <t xml:space="preserve">Marbrerie et pose de pierres naturelles.</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</si>
  <si>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</si>
  <si>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</si>
  <si>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</si>
  <si>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</si>
  <si>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</si>
  <si>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Blocstone</t>
  </si>
  <si>
    <t xml:space="preserve">Gazeran (78125)</t>
  </si>
  <si>
    <t xml:space="preserve">Atelier de pierres naturelles avec showroom près de Rambouillet, qui réalise sols, dallages et escaliers sur mesure : il pourrait proposer MINYALA pour les sols de ses clients.</t>
  </si>
  <si>
    <t xml:space="preserve">www.blocstone.com</t>
  </si>
  <si>
    <t xml:space="preserve">CI Rénovation</t>
  </si>
  <si>
    <t xml:space="preserve">Jumeauville (78580)</t>
  </si>
  <si>
    <t xml:space="preserve">Entreprise des Yvelines qui pose déjà des terrasses en pierre naturelle (travertin, quartzite, granit), traditionnellement ou sur plots : MINYALA pourrait entrer dans ses choix de dallage (usage à valider avec lui : finition, gel, glissance, humidité).</t>
  </si>
  <si>
    <t xml:space="preserve">ci-renovation-78.fr</t>
  </si>
  <si>
    <t xml:space="preserve">06 33 48 92 19</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</si>
  <si>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</si>
  <si>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</si>
  <si>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</si>
  <si>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</si>
  <si>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</si>
  <si>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Crowne Plaza Paris Marne-la-Vallée</t>
  </si>
  <si>
    <t xml:space="preserve">Magny-le-Hongre (77700)</t>
  </si>
  <si>
    <t xml:space="preserve">Ancien Radisson Blu rénové par IHG qui prévoit une piscine extérieure avec bar pour le printemps 2027 : ses plages et terrasses sont une occasion pour MINYALA selon la finition et la pose (usage à valider avec lui : finition, gel, glissance, humidité).</t>
  </si>
  <si>
    <t xml:space="preserve">DPS France</t>
  </si>
  <si>
    <t xml:space="preserve">Villeneuve-Saint-Georges (94190)</t>
  </si>
  <si>
    <t xml:space="preserve">Installateur de hammams maçonnés en Île-de-France dont les cabines ont des bancs en pierre ou en marbre : MINYALA pourrait habiller les sols et les banquettes (usage à valider avec lui : finition, gel, glissance, humidité).</t>
  </si>
  <si>
    <t xml:space="preserve">www.dps-france.fr</t>
  </si>
  <si>
    <t xml:space="preserve">06 51 10 63 22</t>
  </si>
  <si>
    <t xml:space="preserve">Diffazur (agence Paris)</t>
  </si>
  <si>
    <t xml:space="preserve">Paris, couvre le 92 et le 95</t>
  </si>
  <si>
    <t xml:space="preserve">Constructeur de piscines : les plages et abords se font en dallage (usage à valider avec lui : finition, gel, glissance, humidité).</t>
  </si>
  <si>
    <t xml:space="preserve">EP Bati Renov</t>
  </si>
  <si>
    <t xml:space="preserve">Auvers-sur-Oise (95430)</t>
  </si>
  <si>
    <t xml:space="preserve">Entreprise du Val-d'Oise qui pose du dallage en pierre et construit des terrasses : elle pourrait acheter MINYALA pour ses chantiers de terrasses et d'extensions.</t>
  </si>
  <si>
    <t xml:space="preserve">Eden Vatinel &amp; Associés</t>
  </si>
  <si>
    <t xml:space="preserve">Montesson (78360)</t>
  </si>
  <si>
    <t xml:space="preserve">Ce paysagiste de la boucle de Seine pose déjà pierre naturelle et travertin sur terrasses et abords de piscine : MINYALA est une alternative en stock au tarif professionnel (sur devis) (usage à valider avec lui : finition, gel, glissance, humidité).</t>
  </si>
  <si>
    <t xml:space="preserve">edenvatinel.fr</t>
  </si>
  <si>
    <t xml:space="preserve">06 77 86 09 46</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</si>
  <si>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</si>
  <si>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</si>
  <si>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</si>
  <si>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</si>
  <si>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</si>
  <si>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</si>
  <si>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</si>
  <si>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</si>
  <si>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</si>
  <si>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Entreprise Radiguet</t>
  </si>
  <si>
    <t xml:space="preserve">Marcq (78770)</t>
  </si>
  <si>
    <t xml:space="preserve">Ce carreleur des Yvelines pose des dallages en pierre naturelle, des terrasses et des carrelages de piscine, il pourrait acheter et poser MINYALA pour ses clients (usage à valider avec lui : finition, gel, glissance, humidité).</t>
  </si>
  <si>
    <t xml:space="preserve">FTP Services</t>
  </si>
  <si>
    <t xml:space="preserve">Concepteur-installateur de hammams et saunas livrés prêts à carreler pour l'hôtellerie et le wellness, il pourrait prescrire MINYALA pour les sols et abords des espaces bien-être qu'il réalise (usage à valider avec lui : finition, gel, glissance, humidité).</t>
  </si>
  <si>
    <t xml:space="preserve">www.ftp-services.fr</t>
  </si>
  <si>
    <t xml:space="preserve">06 33 88 95 84</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</si>
  <si>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</si>
  <si>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</si>
  <si>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</si>
  <si>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</si>
  <si>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</si>
  <si>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Hôtel Barrière Le Grand Hôtel Enghien-les-Bains</t>
  </si>
  <si>
    <t xml:space="preserve">Enghien-les-Bains (95880)</t>
  </si>
  <si>
    <t xml:space="preserve">L'hôtel est fermé depuis juillet 2026 pour 21 mois de travaux et rouvrira en 2028 avec 100 chambres : les lots de sols et de terrasses de cette restructuration sont une piste pour MINYALA.</t>
  </si>
  <si>
    <t xml:space="preserve">www.hotelsbarriere.com/fr/enghien-les-bains/le-grand-hotel.html</t>
  </si>
  <si>
    <t xml:space="preserve">+33 1 73 60 01 11</t>
  </si>
  <si>
    <t xml:space="preserve">Idoine Piscines &amp; Spa</t>
  </si>
  <si>
    <t xml:space="preserve">Paris (75013)</t>
  </si>
  <si>
    <t xml:space="preserve">Ce pisciniste parisien haut de gamme, qui travaille pour des particuliers et des hôtels de luxe, peut prescrire MINYALA pour les plages et les sols de spa (usage à valider avec lui : finition, gel, glissance, humidité).</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</si>
  <si>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</si>
  <si>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</si>
  <si>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</si>
  <si>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</si>
  <si>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 (usage à valider avec lui : finition, gel, glissance, humidité).</t>
  </si>
  <si>
    <t xml:space="preserve">www.idealpiscine.com</t>
  </si>
  <si>
    <t xml:space="preserve">01 34 92 91 18</t>
  </si>
  <si>
    <t xml:space="preserve">Jardins et Ambiances</t>
  </si>
  <si>
    <t xml:space="preserve">Dourdan (91410)</t>
  </si>
  <si>
    <t xml:space="preserve">Paysagiste du sud de l'Essonne, actif jusqu'à Rambouillet, qui réalise des terrasses en pierre naturelle : MINYALA pourrait faire partie de ses choix de matériaux.</t>
  </si>
  <si>
    <t xml:space="preserve">www.jardins-et-ambiances.com</t>
  </si>
  <si>
    <t xml:space="preserve">01 64 59 68 91</t>
  </si>
  <si>
    <t xml:space="preserve">Kalozia Gardens (Entreprise Tetrasol)</t>
  </si>
  <si>
    <t xml:space="preserve">Création de jardins avec terrasses.</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</si>
  <si>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</si>
  <si>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</si>
  <si>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 (usage à valider avec lui : finition, gel, glissance, humidité).</t>
  </si>
  <si>
    <t xml:space="preserve">www.kristech.fr</t>
  </si>
  <si>
    <t xml:space="preserve">01 87 20 65 00</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</si>
  <si>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</si>
  <si>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</si>
  <si>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</si>
  <si>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</si>
  <si>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</si>
  <si>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</si>
  <si>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 (usage à valider avec lui : finition, gel, glissance, humidité).</t>
  </si>
  <si>
    <t xml:space="preserve">www.la-boutique-piscine-spa.fr</t>
  </si>
  <si>
    <t xml:space="preserve">01 47 49 74 69</t>
  </si>
  <si>
    <t xml:space="preserve">Les Jardins de Chevreuse</t>
  </si>
  <si>
    <t xml:space="preserve">Clairefontaine-en-Yvelines (78120)</t>
  </si>
  <si>
    <t xml:space="preserve">Paysagiste du secteur de Rambouillet qui pose déjà des dallages en calcaire de Bourgogne et en travertin : MINYALA serait une autre option de calcaire pour ses terrasses.</t>
  </si>
  <si>
    <t xml:space="preserve">www.lesjardinsdechevreuse.fr</t>
  </si>
  <si>
    <t xml:space="preserve">01 34 84 50 77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</si>
  <si>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</si>
  <si>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</si>
  <si>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</si>
  <si>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</si>
  <si>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</si>
  <si>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 (usage à valider avec lui : finition, gel, glissance, humidité).</t>
  </si>
  <si>
    <t xml:space="preserve">www.jardinsdelavallee.fr</t>
  </si>
  <si>
    <t xml:space="preserve">01 30 57 07 07</t>
  </si>
  <si>
    <t xml:space="preserve">Les Jardins du Roy</t>
  </si>
  <si>
    <t xml:space="preserve">Suresnes (92150)</t>
  </si>
  <si>
    <t xml:space="preserve">Paysage et maçonnerie.</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</si>
  <si>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</si>
  <si>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</si>
  <si>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</si>
  <si>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</si>
  <si>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</si>
  <si>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Maison Laborde</t>
  </si>
  <si>
    <t xml:space="preserve">Malakoff (92240)</t>
  </si>
  <si>
    <t xml:space="preserve">Entreprise de rénovation haut de gamme des Hauts-de-Seine qui rénove cuisines et salles de bains et réalise des extensions, elle pourrait proposer MINYALA à ses clients pour les sols de ces pièces.</t>
  </si>
  <si>
    <t xml:space="preserve">www.maison-laborde.fr</t>
  </si>
  <si>
    <t xml:space="preserve">06 13 18 73 67</t>
  </si>
  <si>
    <t xml:space="preserve">Maisons ArchiDesign</t>
  </si>
  <si>
    <t xml:space="preserve">Chevreuse (78460)</t>
  </si>
  <si>
    <t xml:space="preserve">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</si>
  <si>
    <t xml:space="preserve">www.maisonsarchidesign.com</t>
  </si>
  <si>
    <t xml:space="preserve">01 88 31 66 06</t>
  </si>
  <si>
    <t xml:space="preserve">Marbrerie Peixeiro</t>
  </si>
  <si>
    <t xml:space="preserve">Clichy (92110)</t>
  </si>
  <si>
    <t xml:space="preserve">Pose et rénovation en marbre, toute l'Île-de-France. À 10 min de Gennevilliers.</t>
  </si>
  <si>
    <t xml:space="preserve">Marbrerie de l'Emperador</t>
  </si>
  <si>
    <t xml:space="preserve">Vitry-sur-Seine (94400)</t>
  </si>
  <si>
    <t xml:space="preserve">Marbrerie avec showroom qui vend des pierres naturelles et réalise des salles de bains : elle pourrait proposer MINYALA à ses clients pour les sols.</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</si>
  <si>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</si>
  <si>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</si>
  <si>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</si>
  <si>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</si>
  <si>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</si>
  <si>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Pensée au Jardin</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</si>
  <si>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</si>
  <si>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</si>
  <si>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</si>
  <si>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Piscines du Vexin</t>
  </si>
  <si>
    <t xml:space="preserve">Ce pisciniste du Val-d'Oise réalise déjà des terrasses et plages en travertin et pierre naturelle : MINYALA peut entrer dans ses devis de dallage (usage à valider avec lui : finition, gel, glissance, humidité).</t>
  </si>
  <si>
    <t xml:space="preserve">www.piscines-spas-iledefrance.fr</t>
  </si>
  <si>
    <t xml:space="preserve">01 34 46 09 17</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</si>
  <si>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</si>
  <si>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</si>
  <si>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</si>
  <si>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</si>
  <si>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</si>
  <si>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SFM Cochois (Société Française de Marbrerie)</t>
  </si>
  <si>
    <t xml:space="preserve">Ballainvilliers (91160)</t>
  </si>
  <si>
    <t xml:space="preserve">Marbrerie qui travaille toutes les roches naturelles pour architectes, décorateurs et particuliers et dispose de ses propres poseurs, elle pourrait prescrire et poser MINYALA en sols et salles de bains.</t>
  </si>
  <si>
    <t xml:space="preserve">www.marbrerie.com</t>
  </si>
  <si>
    <t xml:space="preserve">01 88 28 76 67</t>
  </si>
  <si>
    <t xml:space="preserve">Sica Marbre</t>
  </si>
  <si>
    <t xml:space="preserve">Noisy-le-Grand (93160)</t>
  </si>
  <si>
    <t xml:space="preserve">Poseur de dallages et de pierres naturelles en Seine-Saint-Denis : MINYALA pourrait lui fournir un calcaire en stock à Gennevilliers pour ses chantiers de sols.</t>
  </si>
  <si>
    <t xml:space="preserve">Socorebat</t>
  </si>
  <si>
    <t xml:space="preserve">Cergy (95000)</t>
  </si>
  <si>
    <t xml:space="preserve">Ce constructeur de piscines béton du Val-d'Oise pose déjà des margelles en pierre, des dallages et des pourtours de piscine, MINYALA peut y être proposé selon finition et pose.</t>
  </si>
  <si>
    <t xml:space="preserve">www.socorebat-95.fr</t>
  </si>
  <si>
    <t xml:space="preserve">09 72 12 39 99</t>
  </si>
  <si>
    <t xml:space="preserve">Sté Ouest Carrelage</t>
  </si>
  <si>
    <t xml:space="preserve">Meulan-en-Yvelines (78250)</t>
  </si>
  <si>
    <t xml:space="preserve">Revendeur de carrelage multimarque des Yvelines, qui vend aussi des tomettes en terre cuite : il pourrait ajouter une pierre naturelle en stock comme MINYALA.</t>
  </si>
  <si>
    <t xml:space="preserve">Terrasse et Jardin de Paris</t>
  </si>
  <si>
    <t xml:space="preserve">Paris (75016)</t>
  </si>
  <si>
    <t xml:space="preserve">Ce paysagiste parisien avec showroom dans le 16e réalise les sols de terrasses et rooftops d'hôtels et de restaurants, il pourrait y proposer MINYALA (pose sur plots déconseillée en 2 cm sans avis technique).</t>
  </si>
  <si>
    <t xml:space="preserve">terrasseetjardindeparis.com</t>
  </si>
  <si>
    <t xml:space="preserve">01 49 65 06 50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</si>
  <si>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</si>
  <si>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</si>
  <si>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</si>
  <si>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</si>
  <si>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Veduta Paysages d'Exception</t>
  </si>
  <si>
    <t xml:space="preserve">Saint-Cloud (92210)</t>
  </si>
  <si>
    <t xml:space="preserve">Aménagement de terrasses et dallage de jardin. Clientèle haut de gamme.</t>
  </si>
  <si>
    <t xml:space="preserve">Vert Horizon</t>
  </si>
  <si>
    <t xml:space="preserve">Aménagement de terrasses. Proche de Gennevilliers.</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</si>
  <si>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</si>
  <si>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</si>
  <si>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</si>
  <si>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</si>
  <si>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</si>
  <si>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Yvelines Tradition</t>
  </si>
  <si>
    <t xml:space="preserve">Ecquevilly (78920)</t>
  </si>
  <si>
    <t xml:space="preserve">Constructeur yvelinois de maisons sur mesure haut de gamme (budgets de 250 000 € à 1 M€) : il pourrait proposer MINYALA pour les sols et terrasses de ses villas.</t>
  </si>
  <si>
    <t xml:space="preserve">www.yvelinestradition.fr</t>
  </si>
  <si>
    <t xml:space="preserve">01 39 29 02 39</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</si>
  <si>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</si>
  <si>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</si>
  <si>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</si>
  <si>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</si>
  <si>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</si>
  <si>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</si>
  <si>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</si>
  <si>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Alliance 2</t>
  </si>
  <si>
    <t xml:space="preserve">Tourgéville (14800)</t>
  </si>
  <si>
    <t xml:space="preserve">Entreprise générale de Tourgéville sur des projets de 50 000 € à 1 M€ (rénovation de luxe, terrasses, piscine à Deauville) : elle pourrait acheter MINYALA pour les terrasses et sols de villas (usage à valider avec lui : finition, gel, glissance, humidité).</t>
  </si>
  <si>
    <t xml:space="preserve">06 44 04 41 65</t>
  </si>
  <si>
    <t xml:space="preserve">Artech Piscines</t>
  </si>
  <si>
    <t xml:space="preserve">Sainte-Adresse (76310)</t>
  </si>
  <si>
    <t xml:space="preserve">Pisciniste de Sainte-Adresse qui construit et rénove des piscines sur mesure et propose spas, saunas et hammams : MINYALA pourrait l'intéresser pour les plages et abords de piscine selon la finition (usage à valider avec lui : finition, gel, glissance, humidité).</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</si>
  <si>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</si>
  <si>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</si>
  <si>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</si>
  <si>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EC3S</t>
  </si>
  <si>
    <t xml:space="preserve">Constructeur caennais de maisons sur mesure qui réalise aussi des extensions : MINYALA pourrait habiller les sols et terrasses de ses projets haut de gamme.</t>
  </si>
  <si>
    <t xml:space="preserve">www.ec3s.fr</t>
  </si>
  <si>
    <t xml:space="preserve">02 31 28 27 20</t>
  </si>
  <si>
    <t xml:space="preserve">Fdpaysage</t>
  </si>
  <si>
    <t xml:space="preserve">Saint-Désir (14100)</t>
  </si>
  <si>
    <t xml:space="preserve">Ce paysagiste du Pays d'Auge pose dallages de jardin, murets et décors minéraux : il peut utiliser MINYALA pour ses allées et terrasses.</t>
  </si>
  <si>
    <t xml:space="preserve">Gueudry Constructions</t>
  </si>
  <si>
    <t xml:space="preserve">Le Trait (76580)</t>
  </si>
  <si>
    <t xml:space="preserve">Constructeur normand de maisons individuelles sur mesure depuis plus de 65 ans, avec des agences dans l'Eure : il pourrait proposer MINYALA en option de sol ou de terrasse.</t>
  </si>
  <si>
    <t xml:space="preserve">www.gueudry.fr</t>
  </si>
  <si>
    <t xml:space="preserve">02 35 37 64 04</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</si>
  <si>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</si>
  <si>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</si>
  <si>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</si>
  <si>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</si>
  <si>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</si>
  <si>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Ma Solution Habitat</t>
  </si>
  <si>
    <t xml:space="preserve">Fontenay-le-Marmion (14320)</t>
  </si>
  <si>
    <t xml:space="preserve">Maître artisan près de Caen qui rénove des salles de bains clé en main (carrelage compris), installe hammams et saunas et crée des terrasses, il pourrait poser MINYALA en sols de salles d'eau ou de terrasses (usage à valider avec lui : finition, gel, glissance, humidité).</t>
  </si>
  <si>
    <t xml:space="preserve">masolution-habitat.fr</t>
  </si>
  <si>
    <t xml:space="preserve">07 76 09 62 57</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</si>
  <si>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</si>
  <si>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</si>
  <si>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 (usage à valider avec lui : finition, gel, glissance, humidité).</t>
  </si>
  <si>
    <t xml:space="preserve">02 32 24 28 11</t>
  </si>
  <si>
    <t xml:space="preserve">Maisons Socoren (agence de Caen)</t>
  </si>
  <si>
    <t xml:space="preserve">Constructeur de maisons bois haut de gamme sur mesure dont les réalisations dans le Calvados comprennent piscine et terrasse, il pourrait proposer MINYALA pour les abords et les sols de ces maisons (usage à valider avec lui : finition, gel, glissance, humidité).</t>
  </si>
  <si>
    <t xml:space="preserve">www.socoren.com</t>
  </si>
  <si>
    <t xml:space="preserve">02 31 34 08 25</t>
  </si>
  <si>
    <t xml:space="preserve">Nicolas Guérin (architecte d'intérieur)</t>
  </si>
  <si>
    <t xml:space="preserve">Cet architecte d'intérieur caennais agence restaurants, bars, cafés et magasins : MINYALA peut convenir aux sols de ces commerces.</t>
  </si>
  <si>
    <t xml:space="preserve">Piscines du Pays d'Auge</t>
  </si>
  <si>
    <t xml:space="preserve">Clarbec (14130)</t>
  </si>
  <si>
    <t xml:space="preserve">Pisciniste du Pays d'Auge qui construit des piscines et installe spas, saunas et hammams autour de Deauville : MINYALA pourrait servir pour les plages de piscine selon la finition et la pose (usage à valider avec lui : finition, gel, glissance, humidité).</t>
  </si>
  <si>
    <t xml:space="preserve">06 84 59 00 74</t>
  </si>
  <si>
    <t xml:space="preserve">Seine et Mer Piscines (concessionnaire Mondial Piscine Rouen)</t>
  </si>
  <si>
    <t xml:space="preserve">Ce pisciniste de l'est rouennais, avec plus de 150 piscines neuves et 80 rénovations, peut proposer MINYALA en plages et en margelles à ses clients (usage à valider avec lui : finition, gel, glissance, humidité).</t>
  </si>
  <si>
    <t xml:space="preserve">rouen.mondial-piscine.eu</t>
  </si>
  <si>
    <t xml:space="preserve">02 35 32 85 84</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</si>
  <si>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</si>
  <si>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</si>
  <si>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</si>
  <si>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</si>
  <si>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</si>
  <si>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</si>
  <si>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</si>
  <si>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</si>
  <si>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TRIBE Cabourg</t>
  </si>
  <si>
    <t xml:space="preserve">Cabourg (14390)</t>
  </si>
  <si>
    <t xml:space="preserve">Hôtel de 79 chambres en construction face au marché de Cabourg, avec grand jardin et sauna, ouverture prévue en mars 2027 : les terrasses ou les sols restent peut-être à fournir.</t>
  </si>
  <si>
    <t xml:space="preserve">tribehotels.com/en/france/cabourg</t>
  </si>
  <si>
    <t xml:space="preserve">Terralia Immobilier (agence Normandie)</t>
  </si>
  <si>
    <t xml:space="preserve">Beuzeville (27210)</t>
  </si>
  <si>
    <t xml:space="preserve">Promoteur qui développe à Deauville une résidence confidentielle de 12 appartements avec terrasses panoramiques et prépare d'autres programmes normands, il pourrait prescrire MINYALA pour les halls, sols et terrasses de ses prochaines opérations.</t>
  </si>
  <si>
    <t xml:space="preserve">terralia-immobilier.fr</t>
  </si>
  <si>
    <t xml:space="preserve">03 87 500 300</t>
  </si>
  <si>
    <t xml:space="preserve">Translin Aurelien</t>
  </si>
  <si>
    <t xml:space="preserve">Paysagiste, aménagement de jardins. Près du Havre.</t>
  </si>
  <si>
    <t xml:space="preserve">Ynspir (architecte d'intérieur 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</si>
  <si>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</si>
  <si>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</si>
  <si>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</si>
  <si>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Éric Devaux (SARL Devaux)</t>
  </si>
  <si>
    <t xml:space="preserve">Thiberville (27230)</t>
  </si>
  <si>
    <t xml:space="preserve">Entreprise de l'Eure qui pose du pavage et du dallage en pierre naturelle pour allées, cours et terrasses dans toute la Normandie : elle pourrait utiliser MINYALA pour ses terrasses.</t>
  </si>
  <si>
    <t xml:space="preserve">www.eric-devaux.fr</t>
  </si>
  <si>
    <t xml:space="preserve">02 32 46 87 14</t>
  </si>
  <si>
    <t xml:space="preserve">Albizia</t>
  </si>
  <si>
    <t xml:space="preserve">Ce paysagiste de Colombes, limitrophe de Gennevilliers, fait du dallage de jardin et de la maçonnerie paysagère : il peut retirer de petits lots de MINYALA à l'entrepôt.</t>
  </si>
  <si>
    <t xml:space="preserve">Antunes Jardinage</t>
  </si>
  <si>
    <t xml:space="preserve">Rambouillet (78120)</t>
  </si>
  <si>
    <t xml:space="preserve">Paysagiste du sud des Yvelines qui réalise de la maçonnerie paysagère et des terrasses en pierre, il pourrait utiliser MINYALA pour ses terrasses et allées.</t>
  </si>
  <si>
    <t xml:space="preserve">www.antunesjardinage.fr</t>
  </si>
  <si>
    <t xml:space="preserve">01 34 85 28 61</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</si>
  <si>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</si>
  <si>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</si>
  <si>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 (usage à valider avec lui : finition, gel, glissance, humidité).</t>
  </si>
  <si>
    <t xml:space="preserve">www.aqua-system.fr</t>
  </si>
  <si>
    <t xml:space="preserve">01 30 42 26 00</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</si>
  <si>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</si>
  <si>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</si>
  <si>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</si>
  <si>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</si>
  <si>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</si>
  <si>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</si>
  <si>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</si>
  <si>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</si>
  <si>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Axel BTP</t>
  </si>
  <si>
    <t xml:space="preserve">Gennevilliers (92230)</t>
  </si>
  <si>
    <t xml:space="preserve">Entreprise de construction installée à Gennevilliers, comme votre point de retrait francilien.</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</si>
  <si>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</si>
  <si>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</si>
  <si>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</si>
  <si>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</si>
  <si>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</si>
  <si>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</si>
  <si>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</si>
  <si>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</si>
  <si>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</si>
  <si>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</si>
  <si>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Benebatti</t>
  </si>
  <si>
    <t xml:space="preserve">Bougival (78380)</t>
  </si>
  <si>
    <t xml:space="preserve">Entreprise d'extensions et de rénovations haut de gamme dans le 78 et le 92, qui fait aussi de la maçonnerie en pierre : elle pourrait prescrire MINYALA pour les sols et terrasses de ses chantiers.</t>
  </si>
  <si>
    <t xml:space="preserve">www.benebatti.fr</t>
  </si>
  <si>
    <t xml:space="preserve">01 85 39 00 87</t>
  </si>
  <si>
    <t xml:space="preserve">D+B Interior Design Studio</t>
  </si>
  <si>
    <t xml:space="preserve">Cette agence parisienne aménage hôtels, boutique-hôtels et restaurants, jusqu'à Honfleur : elle peut prescrire de gros volumes de pierre pour des sols.</t>
  </si>
  <si>
    <t xml:space="preserve">Duhamel Paysagiste</t>
  </si>
  <si>
    <t xml:space="preserve">Le Pin (77181)</t>
  </si>
  <si>
    <t xml:space="preserve">Paysagiste du nord de la Seine-et-Marne qui propose des terrasses et allées en dallage de pierre naturelle, il pourrait utiliser MINYALA pour ses terrasses et allées.</t>
  </si>
  <si>
    <t xml:space="preserve">duhamel-paysagiste.fr</t>
  </si>
  <si>
    <t xml:space="preserve">01 60 27 12 84</t>
  </si>
  <si>
    <t xml:space="preserve">France-Maisons-idf</t>
  </si>
  <si>
    <t xml:space="preserve">Grosrouvre (78490)</t>
  </si>
  <si>
    <t xml:space="preserve">Constructeur familial de maisons sur mesure haut de gamme dans l'ouest francilien, dont des maisons avec piscine et terrasse : MINYALA pourrait convenir à leurs sols et extérieurs (usage à valider avec lui : finition, gel, glissance, humidité).</t>
  </si>
  <si>
    <t xml:space="preserve">www.francemaisons-idf.com</t>
  </si>
  <si>
    <t xml:space="preserve">06 08 13 39 98</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</si>
  <si>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</si>
  <si>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</si>
  <si>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</si>
  <si>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</si>
  <si>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Henocque Piscines et Spas (boutique de L'Isle-Adam)</t>
  </si>
  <si>
    <t xml:space="preserve">L'Isle-Adam (95290)</t>
  </si>
  <si>
    <t xml:space="preserve">Pisciniste familial du Val-d'Oise qui construit des piscines avec plage et installe saunas et hammams, il pourrait utiliser MINYALA pour les plages et abords de ses bassins (usage à valider avec lui : finition, gel, glissance, humidité).</t>
  </si>
  <si>
    <t xml:space="preserve">www.henocquepiscines.fr</t>
  </si>
  <si>
    <t xml:space="preserve">06 14 13 31 11</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</si>
  <si>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</si>
  <si>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</si>
  <si>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</si>
  <si>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</si>
  <si>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</si>
  <si>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Les Paysages Vivants</t>
  </si>
  <si>
    <t xml:space="preserve">Vélizy-Villacoublay (78140)</t>
  </si>
  <si>
    <t xml:space="preserve">Paysagiste près de Versailles qui fait du dallage de jardin et des terrasses : MINYALA pourrait lui servir pour des allées et terrasses dallées.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</si>
  <si>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</si>
  <si>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</si>
  <si>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</si>
  <si>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Maisons Serge Gautier</t>
  </si>
  <si>
    <t xml:space="preserve">Saint-Prix (95390)</t>
  </si>
  <si>
    <t xml:space="preserve">Maître d'œuvre qui construit et restaure des maisons de caractère en soignant le choix des carrelages et des matériaux, il pourrait prescrire un calcaire naturel comme MINYALA pour les sols intérieurs.</t>
  </si>
  <si>
    <t xml:space="preserve">www.serge-gautier.com</t>
  </si>
  <si>
    <t xml:space="preserve">01 34 16 64 17</t>
  </si>
  <si>
    <t xml:space="preserve">Marbrerie de Vitry (Exploit Marbrerie Vitry)</t>
  </si>
  <si>
    <t xml:space="preserve">Choisy-le-Roi (94600)</t>
  </si>
  <si>
    <t xml:space="preserve">Marbrerie historique fondée en 1925, qui fabrique, pose et rénove marbre et pierre, dallages compris, pour l'aménagement haut de gamme : MINYALA pourrait servir à ses projets de sols.</t>
  </si>
  <si>
    <t xml:space="preserve">www.marbreriedevitry.fr</t>
  </si>
  <si>
    <t xml:space="preserve">01 46 80 28 64</t>
  </si>
  <si>
    <t xml:space="preserve">Natur'O Paysages</t>
  </si>
  <si>
    <t xml:space="preserve">Sonchamp (78120)</t>
  </si>
  <si>
    <t xml:space="preserve">Paysagiste du secteur de Rambouillet qui crée des terrasses en dalles, souvent en pierre naturelle : MINYALA pourrait entrer dans son offre de dallage.</t>
  </si>
  <si>
    <t xml:space="preserve">www.naturo-paysages.fr</t>
  </si>
  <si>
    <t xml:space="preserve">01 34 84 42 21</t>
  </si>
  <si>
    <t xml:space="preserve">Océa</t>
  </si>
  <si>
    <t xml:space="preserve">Crécy-la-Chapelle (77580)</t>
  </si>
  <si>
    <t xml:space="preserve">Constructeur seine-et-marnais de piscines béton et d'espaces bien-être (spas, saunas, hammams) : MINYALA pourrait servir pour les abords de bassin et les sols de ses espaces détente (usage à valider avec lui : finition, gel, glissance, humidité).</t>
  </si>
  <si>
    <t xml:space="preserve">www.oceapiscine.fr</t>
  </si>
  <si>
    <t xml:space="preserve">01 64 63 08 62</t>
  </si>
  <si>
    <t xml:space="preserve">Omillimetre</t>
  </si>
  <si>
    <t xml:space="preserve">Bondoufle (91070)</t>
  </si>
  <si>
    <t xml:space="preserve">Marbrerie-graniterie qui fait de l'agencement d'hôtel et de l'agencement haut de gamme, MINYALA pourrait convenir à ses projets de sols et de salles de bains.</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</si>
  <si>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</si>
  <si>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</si>
  <si>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 (usage à valider avec lui : finition, gel, glissance, humidité).</t>
  </si>
  <si>
    <t xml:space="preserve">www.ops-ouestpiscines.fr</t>
  </si>
  <si>
    <t xml:space="preserve">01 39 73 53 74</t>
  </si>
  <si>
    <t xml:space="preserve">Pro Vert</t>
  </si>
  <si>
    <t xml:space="preserve">Paysagiste versaillais qui pose des terrasses et allées en dalles de pierre naturelle : MINYALA pourrait lui servir pour ces chantiers.</t>
  </si>
  <si>
    <t xml:space="preserve">www.paysagiste-pro-vert.fr</t>
  </si>
  <si>
    <t xml:space="preserve">01 30 43 56 77</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</si>
  <si>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</si>
  <si>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</si>
  <si>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</si>
  <si>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</si>
  <si>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</si>
  <si>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Réflexe paysage</t>
  </si>
  <si>
    <t xml:space="preserve">Ce paysagiste de Croissy-sur-Seine réalise maçonnerie paysagère, terrasses et dallages de jardin, des chantiers où MINYALA peut être posé.</t>
  </si>
  <si>
    <t xml:space="preserve">SGC - Saint Georges Carrelage</t>
  </si>
  <si>
    <t xml:space="preserve">Ce carreleur du Val-de-Marne pose des dallages en pierre naturelle et des plages de piscine, donc il peut être un client direct pour MINYALA (usage à valider avec lui : finition, gel, glissance, humidité).</t>
  </si>
  <si>
    <t xml:space="preserve">Simonson Landscape</t>
  </si>
  <si>
    <t xml:space="preserve">Paris (75010)</t>
  </si>
  <si>
    <t xml:space="preserve">Ce concepteur-réalisateur parisien choisit les matériaux de ses terrasses et jardins avec piscine : il pourrait prescrire MINYALA (usage à valider avec lui : finition, gel, glissance, humidité).</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</si>
  <si>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</si>
  <si>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</si>
  <si>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</si>
  <si>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</si>
  <si>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</si>
  <si>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</si>
  <si>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</si>
  <si>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</si>
  <si>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</si>
  <si>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Acheteur export (RFQ)</t>
  </si>
  <si>
    <t xml:space="preserve">Demande StoneAdd</t>
  </si>
  <si>
    <t xml:space="preserve">Ataija Creme Limestone Inquiry</t>
  </si>
  <si>
    <t xml:space="preserve">Belgique</t>
  </si>
  <si>
    <t xml:space="preserve">Export</t>
  </si>
  <si>
    <t xml:space="preserve">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</si>
  <si>
    <t xml:space="preserve">Correspondance : Forte ; vérifiée : Oui ; publiée le 2026-08-17</t>
  </si>
  <si>
    <t xml:space="preserve">RFQ (12/10)</t>
  </si>
  <si>
    <t xml:space="preserve">Demande StoneContact</t>
  </si>
  <si>
    <t xml:space="preserve">Beaumaniere Limestone Slabs &amp; Tiles, France Beige Limestone from France (buyer request on the listing)</t>
  </si>
  <si>
    <t xml:space="preserve">Rotterdam, Netherlands</t>
  </si>
  <si>
    <t xml:space="preserve">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</si>
  <si>
    <t xml:space="preserve">Correspondance : Forte ; vérifiée : Non (StoneContact bloqué) ; publiée le None</t>
  </si>
  <si>
    <t xml:space="preserve">Buy Sunny Marble</t>
  </si>
  <si>
    <t xml:space="preserve">Autriche (livraisons Autriche et sud de l'Allemagne)</t>
  </si>
  <si>
    <t xml:space="preserve">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</si>
  <si>
    <t xml:space="preserve">Correspondance : Forte ; vérifiée : Oui ; publiée le 2026-05-19</t>
  </si>
  <si>
    <t xml:space="preserve">Demande Alibaba RFQ</t>
  </si>
  <si>
    <t xml:space="preserve">Perfekte Steinfliesen aus Kalkstein und Marmor für Innenräume, Natürliche Kalksteinplatten für Hausrenovierung und Wohnprojekte</t>
  </si>
  <si>
    <t xml:space="preserve">Suisse</t>
  </si>
  <si>
    <t xml:space="preserve">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</si>
  <si>
    <t xml:space="preserve">Correspondance : Forte ; vérifiée : Oui ; publiée le affiché « 10 days ago » le 2026-10-12 (vers le 2026-10-02)</t>
  </si>
  <si>
    <t xml:space="preserve">Sinai Pearl Grey Limestone Slabs&amp;Tiles from Egypt</t>
  </si>
  <si>
    <t xml:space="preserve">France (clients in France and the UK)</t>
  </si>
  <si>
    <t xml:space="preserve">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</si>
  <si>
    <t xml:space="preserve">Beige Limestone Floor Tiles from United Kingdom</t>
  </si>
  <si>
    <t xml:space="preserve">Polished grey-beige Jura limestone — quantité : 150 m (as written by the buyer) — format : 60x40 cm, polished. Calcaire beige, 150 m² sur une annonce britannique : MINYALA pourrait être proposé en 30x60 à la place du 60x40 Jura poli. Destination non confirmée et demande non datée.</t>
  </si>
  <si>
    <t xml:space="preserve">Correspondance : Possible ; vérifiée : Non (StoneContact bloqué) ; publiée le None</t>
  </si>
  <si>
    <t xml:space="preserve">Beige Travertine KARAMAN Inquiry</t>
  </si>
  <si>
    <t xml:space="preserve">France (Sud-Ouest)</t>
  </si>
  <si>
    <t xml:space="preserve">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</si>
  <si>
    <t xml:space="preserve">Correspondance : Possible ; vérifiée : Oui ; publiée le 2026-03-27</t>
  </si>
  <si>
    <t xml:space="preserve">Buy Crema Marfil tiles 305x305x1cm Standard Range</t>
  </si>
  <si>
    <t xml:space="preserve">Espagne</t>
  </si>
  <si>
    <t xml:space="preserve">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</si>
  <si>
    <t xml:space="preserve">Correspondance : Possible ; vérifiée : Oui ; publiée le 2026-04-18</t>
  </si>
  <si>
    <t xml:space="preserve">Buy Moscato Beige Marble</t>
  </si>
  <si>
    <t xml:space="preserve">Irlande</t>
  </si>
  <si>
    <t xml:space="preserve">Marbre beige Moscato (Espagne) — quantité : non précisée — format : non précisé. Pierre beige, acheteur en Irlande (UE). La demande vise une référence espagnole précise et ne donne ni format ni quantité.</t>
  </si>
  <si>
    <t xml:space="preserve">Correspondance : Possible ; vérifiée : Oui ; publiée le 2026-09-12</t>
  </si>
  <si>
    <t xml:space="preserve">Buy Sinai Pearl Limestone Stairs and Steps</t>
  </si>
  <si>
    <t xml:space="preserve">Kosovo</t>
  </si>
  <si>
    <t xml:space="preserve">Marches et escaliers en calcaire égyptien Sinai Pearl — quantité : non précisée — format : marches (non précisé). Calcaire égyptien, acheteur au Kosovo (Europe hors UE). Il cherche des marches et non des carreaux 30×60, et la Sinai Pearl vient du Sinaï, pas de Minya.</t>
  </si>
  <si>
    <t xml:space="preserve">Correspondance : Possible ; vérifiée : Oui ; publiée le 2026-09-09</t>
  </si>
  <si>
    <t xml:space="preserve">Buy THALA BEIGE Marbles</t>
  </si>
  <si>
    <t xml:space="preserve">Italie</t>
  </si>
  <si>
    <t xml:space="preserve">Thala Beige (pierre beige tunisienne) — quantité : non précisée — format : non précisé. Pierre beige nord-africaine du même registre que la Minyala, acheteur en Italie. La demande est générique et sans quantité.</t>
  </si>
  <si>
    <t xml:space="preserve">Correspondance : Possible ; vérifiée : Oui ; publiée le 2026-08-29</t>
  </si>
  <si>
    <t xml:space="preserve">Buy Turkey Ivory Travertine Slab</t>
  </si>
  <si>
    <t xml:space="preserve">Kalamata, Grèce</t>
  </si>
  <si>
    <t xml:space="preserve">Travertin ivoire (Turquie), 120 m², livraison à Kalamata — quantité : 120 m² — format : non précisé. Pierre claire en petite quantité (120 m²) pour la Grèce, dans l'UE. C'est du travertin et non du calcaire, et le transport jusqu'à Kalamata coûte cher depuis Paris.</t>
  </si>
  <si>
    <t xml:space="preserve">Correspondance : Possible ; vérifiée : Oui ; publiée le 2026-06-05</t>
  </si>
  <si>
    <t xml:space="preserve">Buyers from France - Global Stone Buyer Center (RFQ for Buffon Banc Limestone)</t>
  </si>
  <si>
    <t xml:space="preserve">France</t>
  </si>
  <si>
    <t xml:space="preserve">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</si>
  <si>
    <t xml:space="preserve">Correspondance : Possible ; vérifiée : Non (StoneContact bloqué) ; publiée le July 2025</t>
  </si>
  <si>
    <t xml:space="preserve">Buyers from France - Global Stone Buyer Center (RFQ for beige sandstone flooring)</t>
  </si>
  <si>
    <t xml:space="preserve">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</si>
  <si>
    <t xml:space="preserve">Correspondance : Possible ; vérifiée : Non (StoneContact bloqué) ; publiée le Aug 21, 2025</t>
  </si>
  <si>
    <t xml:space="preserve">Buyers from Ireland - Global Stone Buyer Center (RFQ for Jerusalem Gold Limestone tiles and cobbles)</t>
  </si>
  <si>
    <t xml:space="preserve">Ireland</t>
  </si>
  <si>
    <t xml:space="preserve">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</si>
  <si>
    <t xml:space="preserve">Correspondance : Possible ; vérifiée : Non (StoneContact bloqué) ; publiée le Aug 27, 2025</t>
  </si>
  <si>
    <t xml:space="preserve">Buyers from United Kingdom - Global Stone Buyer Center (RFQ for Oman White Limestone)</t>
  </si>
  <si>
    <t xml:space="preserve">London, UK</t>
  </si>
  <si>
    <t xml:space="preserve">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</si>
  <si>
    <t xml:space="preserve">Correspondance : Possible ; vérifiée : Non (StoneContact bloqué) ; publiée le May 14, 2026</t>
  </si>
  <si>
    <t xml:space="preserve">Dijon Limestone Honed Finish Floor Tiles from United Kingdom</t>
  </si>
  <si>
    <t xml:space="preserve">Spain (company located in Spain)</t>
  </si>
  <si>
    <t xml:space="preserve">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</si>
  <si>
    <t xml:space="preserve">Galala Beige Marble Tiles &amp; Slab from Egypt</t>
  </si>
  <si>
    <t xml:space="preserve">Spain (Spanish company)</t>
  </si>
  <si>
    <t xml:space="preserve">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</si>
  <si>
    <t xml:space="preserve">Galala Extra - Galala Marble Quarry</t>
  </si>
  <si>
    <t xml:space="preserve">France (French project)</t>
  </si>
  <si>
    <t xml:space="preserve">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</si>
  <si>
    <t xml:space="preserve">Global Stone Buyer Center (RFQ for Portuguese Moleanos Beige Limestone)</t>
  </si>
  <si>
    <t xml:space="preserve">Russia</t>
  </si>
  <si>
    <t xml:space="preserve">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</si>
  <si>
    <t xml:space="preserve">Correspondance : Possible ; vérifiée : Non (StoneContact bloqué) ; publiée le May 26, 2026</t>
  </si>
  <si>
    <t xml:space="preserve">Marble Slabs Inquiry</t>
  </si>
  <si>
    <t xml:space="preserve">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</si>
  <si>
    <t xml:space="preserve">Correspondance : Possible ; vérifiée : Oui ; publiée le 2026-07-15</t>
  </si>
  <si>
    <t xml:space="preserve">Sinai Pearl Limestone - Beige Limestone</t>
  </si>
  <si>
    <t xml:space="preserve">Sinai Pearl limestone (Egyptian), for a trader's client — quantité : 4,000 m² — format : None. Négociant qui cherche du calcaire beige égyptien pour un client : piste pour proposer MINYALA en alternative, mais 4 000 m² dépasse probablement le stock. Destination et date non indiquées.</t>
  </si>
  <si>
    <t xml:space="preserve">Sinai Pearl Limestone - Tumbled Limestone - Egyptian Limestone Supplier from Egypt</t>
  </si>
  <si>
    <t xml:space="preserve">Sinai Pearl limestone tiles (Egyptian) — quantité : 100 to 200 m² — format : preferably 600x900 mm. Petit volume (100 à 200 m²) de calcaire égyptien, adapté à un stock disponible. Format souhaité 60x90, destination non indiquée, demande non datée.</t>
  </si>
  <si>
    <t xml:space="preserve">Sinai Pearl Limestone Tiles &amp; Slabs, Grey Limestone Egypt Polished Floor Covering Tiles, Walling Tiles from Egypt</t>
  </si>
  <si>
    <t xml:space="preserve">Cardiff, Wales, UK</t>
  </si>
  <si>
    <t xml:space="preserve">Honed Sinai Pearl limestone tiles — quantité : 30 m² — format : 600x400x15 mm, honed. Petit volume (30 m², au-dessus du minimum de 25 m²) de calcaire égyptien adouci livré au Royaume-Uni : MINYALA peut proposer le 30x60x2 comme alternative au 60x40x1,5. Demande non datée.</t>
  </si>
  <si>
    <t xml:space="preserve">Sunny Menia Marble Slabs, Tiles from Egypt</t>
  </si>
  <si>
    <t xml:space="preserve">Barcelona, Spain (CIF)</t>
  </si>
  <si>
    <t xml:space="preserve">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</si>
  <si>
    <t xml:space="preserve">Demande go4WorldBusiness</t>
  </si>
  <si>
    <t xml:space="preserve">Wanted : Marble</t>
  </si>
  <si>
    <t xml:space="preserve">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</si>
  <si>
    <t xml:space="preserve">Correspondance : Possible ; vérifiée : Oui ; publiée le 2026-07-09</t>
  </si>
  <si>
    <t xml:space="preserve">Wanted : Natural Stones Like Sandstone, Limestone</t>
  </si>
  <si>
    <t xml:space="preserve">Allemagne</t>
  </si>
  <si>
    <t xml:space="preserve">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</si>
  <si>
    <t xml:space="preserve">Correspondance : Possible ; vérifiée : Oui ; publiée le 2026-06-26</t>
  </si>
  <si>
    <t xml:space="preserve">Wanted : Stone Articles Like Marble, Granite, Limestone</t>
  </si>
  <si>
    <t xml:space="preserve">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</si>
  <si>
    <t xml:space="preserve">Correspondance : Possible ; vérifiée : Oui ; publiée le 2026-09-29</t>
  </si>
  <si>
    <t xml:space="preserve">Westhill Limestone Honed Tiles from United Kingdom</t>
  </si>
  <si>
    <t xml:space="preserve">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</si>
  <si>
    <t xml:space="preserve">Correspondance : Possible ; vérifiée : Non (StoneContact bloqué) ; publiée le page dated 2025-02-08 (request date not confirmed)</t>
  </si>
  <si>
    <t xml:space="preserve">Bulk Inquiry - 11000 M2 Beige Marble Slabs 60x120cmx2cm EXW Factory</t>
  </si>
  <si>
    <t xml:space="preserve">Égypte</t>
  </si>
  <si>
    <t xml:space="preserve">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</si>
  <si>
    <t xml:space="preserve">Correspondance : Faible ; vérifiée : Oui ; publiée le 2026-08-31</t>
  </si>
  <si>
    <t xml:space="preserve">Buyers from France - Global Stone Buyer Center (RFQ for limestone stone veneer)</t>
  </si>
  <si>
    <t xml:space="preserve">Glued stone veneer in Anstrude Clair and Massangis Clair limestone — quantité : None — format : veneer. Acheteur en France, mais le produit demandé est un placage collé en pierres françaises précises (Anstrude, Massangis), pas du carrelage 30x60.</t>
  </si>
  <si>
    <t xml:space="preserve">Correspondance : Faible ; vérifiée : Non (StoneContact bloqué) ; publiée le September 2025</t>
  </si>
  <si>
    <t xml:space="preserve">Buyers from Germany - Global Stone Buyer Center (Inquire About Verona Beige Marble)</t>
  </si>
  <si>
    <t xml:space="preserve">Germany</t>
  </si>
  <si>
    <t xml:space="preserve">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</si>
  <si>
    <t xml:space="preserve">Correspondance : Faible ; vérifiée : Non (StoneContact bloqué) ; publiée le Jul 23, 2026</t>
  </si>
  <si>
    <t xml:space="preserve">Buyers from Italy - Global Stone Buyer Center (Caliza Capri Limestone)</t>
  </si>
  <si>
    <t xml:space="preserve">Italy</t>
  </si>
  <si>
    <t xml:space="preserve">Caliza Capri limestone blocks (about 2 for a trial) — quantité : about 2 blocks for a trial — format : blocks. Acheteur en Italie (août 2026), mais il demande des blocs d'un calcaire précis : sans intérêt pour un stock de carreaux.</t>
  </si>
  <si>
    <t xml:space="preserve">Correspondance : Faible ; vérifiée : Non (StoneContact bloqué) ; publiée le Aug 4, 2026</t>
  </si>
  <si>
    <t xml:space="preserve">Buyers from Kuwait - Global Stone Buyer Center (Kota Beige Limestone)</t>
  </si>
  <si>
    <t xml:space="preserve">Kuwait</t>
  </si>
  <si>
    <t xml:space="preserve">Kota Beige limestone (India) for exterior walls — quantité : 100 m² — format : 60x120x3 cm. Calcaire beige, 100 m², mais destination Koweït, format 60x120x3 et pierre indienne précise.</t>
  </si>
  <si>
    <t xml:space="preserve">Correspondance : Faible ; vérifiée : Non (StoneContact bloqué) ; publiée le July 2026 (Jul 11, 2026)</t>
  </si>
  <si>
    <t xml:space="preserve">Buyers from Kuwait - Global Stone Buyer Center (Turkish light limestone)</t>
  </si>
  <si>
    <t xml:space="preserve">Turkish light limestone, off-white, honed tiles — quantité : about 2,000 m² — format : 40x80x3 cm, honed. Calcaire clair adouci, 2 000 m² (mars 2026), mais destination Koweït, origine turque demandée et épaisseur 3 cm.</t>
  </si>
  <si>
    <t xml:space="preserve">Correspondance : Faible ; vérifiée : Non (StoneContact bloqué) ; publiée le Mar 9, 2026</t>
  </si>
  <si>
    <t xml:space="preserve">Buyers from Portugal - Global Stone Buyer Center (RFQ for Victory Beige Marble)</t>
  </si>
  <si>
    <t xml:space="preserve">Portugal</t>
  </si>
  <si>
    <t xml:space="preserve">Victory Beige marble slabs, 2 cm, honed — quantité : None — format : slabs, 2 cm, honed. Demande très récente (oct. 2026) d'une pierre beige de 2 cm adoucie au Portugal, mais en tranches et en marbre précis : substitution par du carrelage 30x60 peu probable.</t>
  </si>
  <si>
    <t xml:space="preserve">Correspondance : Faible ; vérifiée : Non (StoneContact bloqué) ; publiée le Oct 8, 2026</t>
  </si>
  <si>
    <t xml:space="preserve">Buyers from Saudi Arabia - Global Stone Buyer Center (Riyadh Stone or similar beige limestone, facades)</t>
  </si>
  <si>
    <t xml:space="preserve">Saudi Arabia</t>
  </si>
  <si>
    <t xml:space="preserve">Riyadh Stone or a similar beige limestone for facades — quantité : 45,000 m² — format : 60x30 cm, thickness to be confirmed. Calcaire beige en 60x30, mais volume énorme (45 000 m²), destination Arabie saoudite et préférence déclarée pour des fournisseurs saoudiens.</t>
  </si>
  <si>
    <t xml:space="preserve">Correspondance : Faible ; vérifiée : Non (StoneContact bloqué) ; publiée le April 2026</t>
  </si>
  <si>
    <t xml:space="preserve">Buyers from United States - Global Stone Buyer Center (Jura Beige Limestone)</t>
  </si>
  <si>
    <t xml:space="preserve">United States</t>
  </si>
  <si>
    <t xml:space="preserve">Jura Beige limestone, large-format tiles and slabs, leather finish, interior flooring — quantité : about 10,000 sq ft — format : 24x48 in, 1/2 in, leather finish. Calcaire beige chaud pour sol intérieur (juillet 2026), mais destination États-Unis, format 24x48 pouces et grand volume.</t>
  </si>
  <si>
    <t xml:space="preserve">Correspondance : Faible ; vérifiée : Non (StoneContact bloqué) ; publiée le July 2026</t>
  </si>
  <si>
    <t xml:space="preserve">Demande TradeKey</t>
  </si>
  <si>
    <t xml:space="preserve">DEMANDE PRIX</t>
  </si>
  <si>
    <t xml:space="preserve">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</si>
  <si>
    <t xml:space="preserve">Correspondance : Faible ; vérifiée : Oui ; publiée le 2026-09-01</t>
  </si>
  <si>
    <t xml:space="preserve">DIY Interlock Modern Outdoor Anti-slip Stone Deck Tile Floor Marble Tile Limestone Deck Tile Stone ...</t>
  </si>
  <si>
    <t xml:space="preserve">Londres, Royaume-Uni</t>
  </si>
  <si>
    <t xml:space="preserve">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</si>
  <si>
    <t xml:space="preserve">Correspondance : Faible ; vérifiée : Oui ; publiée le affiché « 1 days ago » le 2026-10-12</t>
  </si>
  <si>
    <t xml:space="preserve">Floor tiles</t>
  </si>
  <si>
    <t xml:space="preserve">Royaume-Uni</t>
  </si>
  <si>
    <t xml:space="preserve">Carreaux de sol (tags : limestone, marble, travertine, slate…) — quantité : non précisée — format : non précisé. Acheteur au Royaume-Uni, mais la demande se résume à « I want to buy floor tiles ». Aucune spécification, et la réponse est réservée aux membres Premium.</t>
  </si>
  <si>
    <t xml:space="preserve">Correspondance : Faible ; vérifiée : Oui ; publiée le 2026-10-08</t>
  </si>
  <si>
    <t xml:space="preserve">Global Stone Buyer Center - page 3 (RFQ for beige-cream flamed limestone cladding and paving)</t>
  </si>
  <si>
    <t xml:space="preserve">Egypt (per a search summary, unconfirmed)</t>
  </si>
  <si>
    <t xml:space="preserve">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</si>
  <si>
    <t xml:space="preserve">Correspondance : Faible ; vérifiée : Non (StoneContact bloqué) ; publiée le Aug 25, 2026</t>
  </si>
  <si>
    <t xml:space="preserve">Natural Stone Buyers from Qatar (Limra Limestone, villa in Doha)</t>
  </si>
  <si>
    <t xml:space="preserve">Doha, Qatar</t>
  </si>
  <si>
    <t xml:space="preserve">Cut-to-size Limra limestone for a villa exterior — quantité : about 2,288 m² — format : cut-to-size. Demande récente (29 sept. 2026) mais destination lointaine (Doha) et calcaire blanc turc (Limra) en dimensions sur mesure.</t>
  </si>
  <si>
    <t xml:space="preserve">Correspondance : Faible ; vérifiée : Non (StoneContact bloqué) ; publiée le Sep 29, 2026</t>
  </si>
  <si>
    <t xml:space="preserve">Request sample for Limestone Beige Split Face</t>
  </si>
  <si>
    <t xml:space="preserve">Échantillon de parement en calcaire beige éclaté (Bulgarie) — quantité : échantillon — format : parement éclaté. Calcaire beige pour le Royaume-Uni, mais il s'agit d'un parement mural éclaté et seulement d'une demande d'échantillon.</t>
  </si>
  <si>
    <t xml:space="preserve">Correspondance : Faible ; vérifiée : Oui ; publiée le 2026-06-08</t>
  </si>
  <si>
    <t xml:space="preserve">Riyadh Limestone Tile from Saudi Arabia</t>
  </si>
  <si>
    <t xml:space="preserve">Beige Riyadh limestone, bush-hammered — quantité : 2,700 m² — format : 30x60x3 cm, bush-hammered. Le format 30x60 correspond, mais il s'agit de pierre saoudienne de 3 cm bouchardée, avec destination probablement au Moyen-Orient.</t>
  </si>
  <si>
    <t xml:space="preserve">Correspondance : Faible ; vérifiée : Non (StoneContact bloqué) ; publiée le about 112 days ago (relative to the index snapshot)</t>
  </si>
  <si>
    <t xml:space="preserve">Sunny Beige Marble Tiles Quotation</t>
  </si>
  <si>
    <t xml:space="preserve">États-Unis</t>
  </si>
  <si>
    <t xml:space="preserve">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</si>
  <si>
    <t xml:space="preserve">Correspondance : Faible ; vérifiée : Oui (corrigée) ; publiée le 2026-05-06</t>
  </si>
  <si>
    <t xml:space="preserve">Sunny Menia Marble - Beige Marble</t>
  </si>
  <si>
    <t xml:space="preserve">Shenzhen, China</t>
  </si>
  <si>
    <t xml:space="preserve">Sunny Menia (Minya stone), acid-washed / honed — quantité : None — format : 300x300x18 mm, acid-washed / honed. Famille Sunny Menia (Minya), proche de MINYALA seulement si l'origine Minya est confirmée, mais destination Chine (Shenzhen) et format 30x30x1,8 : sans intérêt pour un stock en France.</t>
  </si>
  <si>
    <t xml:space="preserve">Correspondance : Faible ; vérifiée : Non (StoneContact bloqué) ; publiée le None</t>
  </si>
  <si>
    <t xml:space="preserve">Wanted : Natural Stone Like Sandstone, Limestone, Natural Stones</t>
  </si>
  <si>
    <t xml:space="preserve">Split, Croatie</t>
  </si>
  <si>
    <t xml:space="preserve">Grès et calcaire sur mesure, noir, brun ou gris — quantité : 1 conteneur 20' — format : sur mesure. Calcaire pour l'Europe (Split, Croatie), mais les couleurs voulues sont sombres (noir, brun, gris) et le paiement se fait par L/C pour 1 conteneur.</t>
  </si>
  <si>
    <t xml:space="preserve">Correspondance : Faible ; vérifiée : Oui ; publiée le 2026-09-03</t>
  </si>
  <si>
    <t xml:space="preserve">Wanted : Natural Stones Like Sawn And Tumbled Finish</t>
  </si>
  <si>
    <t xml:space="preserve">Oman</t>
  </si>
  <si>
    <t xml:space="preserve">Dalles 500×500×30 sciées et vieillies : travertin beige 640 m², gris foncé 447 m², jaune cristal 521 m² — quantité : 640 m² (beige), plus d'autres teintes — format : 500×500×30 mm. Pierre beige vieillie, mais l'acheteur est à Oman, loin de l'Europe, et demande du 50×50×3 cm.</t>
  </si>
  <si>
    <t xml:space="preserve">Correspondance : Faible ; vérifiée : Oui ; publiée le 2026-07-21</t>
  </si>
  <si>
    <t xml:space="preserve">YDSTONE Beige Tumbled French Pattern Travertine Tile Limestone for Indoor Outdoor Staircases ...</t>
  </si>
  <si>
    <t xml:space="preserve">Perth, Australie (compte acheteur aux États-Unis)</t>
  </si>
  <si>
    <t xml:space="preserve">Pavés de travertin extérieurs pour zones humides, adoucis — quantité : 150 m² — format : au moins 300×600 mm, épaisseur 30 mm minimum. Pierre beige en format proche du 30×60, mais pour l'Australie (Perth) et en 30 mm minimum, alors que MINYALA fait 20 mm : ne correspond pas.</t>
  </si>
  <si>
    <t xml:space="preserve">Correspondance : Faible ; vérifiée : Oui (corrigée) ; publiée le affiché « 5 days ago » le 2026-10-12</t>
  </si>
  <si>
    <t xml:space="preserve">[RFQ]Inquire About Galala Marble, Black Granite (Buyers from Bahrain)</t>
  </si>
  <si>
    <t xml:space="preserve">Bahrain</t>
  </si>
  <si>
    <t xml:space="preserve">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</si>
  <si>
    <t xml:space="preserve">bathroom tiles walls and floors</t>
  </si>
  <si>
    <t xml:space="preserve">Grès cérame pleine masse aspect pierre, mat, R10, rectifié (pas de pierre naturelle) — quantité : 26 m² — format : 800×800×10 mm. Petite quantité (26 m²) au Portugal, mais l'acheteur veut du grès cérame aspect pierre en 80×80, pas de la pierre naturelle : ne correspond pas.</t>
  </si>
  <si>
    <t xml:space="preserve">Correspondance : Faible ; vérifiée : Oui (corrigée) ; publiée le affiché « 4 days ago » le 2026-10-12</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</si>
  <si>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</si>
  <si>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</si>
  <si>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</si>
  <si>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</si>
  <si>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</si>
  <si>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</si>
  <si>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</si>
  <si>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</si>
  <si>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</si>
  <si>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Une annonce localisée à Gennevilliers ; Vernon seulement quand l'adresse, les horaires et le stock y sont</t>
  </si>
  <si>
    <t xml:space="preserve">Compte Pro obligatoire. Une seule annonce au départ : lot de 25 m² à 875 €, vraies photos sans texte, IDU de la filière REP, pas de lien ni de paiement en ligne Leboncoin pour l'instant. Texte, photos et liste de contrôle : leboncoin.md.</t>
  </si>
  <si>
    <t xml:space="preserve">Compte Pro gratuit ; 50 dépôts offerts au total en Maison &amp; Jardin ; 12 % de commission si paiement en ligne</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</si>
  <si>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</si>
  <si>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</si>
  <si>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</si>
  <si>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</si>
  <si>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</si>
  <si>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une fiche par point de retrait (Gennevilliers, puis Vernon dès que l'adresse est connue)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</si>
  <si>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</si>
  <si>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</si>
  <si>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</si>
  <si>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</si>
  <si>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(zone d'intervention incluant l'Eure / Vernon)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</si>
  <si>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</si>
  <si>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</si>
  <si>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</si>
  <si>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</si>
  <si>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</si>
  <si>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</si>
  <si>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</si>
  <si>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Annonce localisée à Gennevilliers, et une 2e à Vernon (27) dès que l'adresse est connue</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</si>
  <si>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</si>
  <si>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</si>
  <si>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</si>
  <si>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</si>
  <si>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</si>
  <si>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</si>
  <si>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</si>
  <si>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</si>
  <si>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</si>
  <si>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</si>
  <si>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</si>
  <si>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</si>
  <si>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</si>
  <si>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</si>
  <si>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</si>
  <si>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</si>
  <si>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</si>
  <si>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</si>
  <si>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</si>
  <si>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</si>
  <si>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</si>
  <si>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</si>
  <si>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</si>
  <si>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</si>
  <si>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</si>
  <si>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</si>
  <si>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</si>
  <si>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</si>
  <si>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</si>
  <si>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</si>
  <si>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</si>
  <si>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</si>
  <si>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</si>
  <si>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</si>
  <si>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</si>
  <si>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chaque client, sans tri, à laisser un avis après le retrait ou la livraison. Ne jamais rédiger de faux avis ni offrir de contrepartie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</si>
  <si>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</si>
  <si>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</si>
  <si>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</si>
  <si>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</si>
  <si>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</si>
  <si>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</si>
  <si>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</si>
  <si>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</si>
  <si>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</si>
  <si>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</si>
  <si>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</si>
  <si>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</si>
  <si>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</si>
  <si>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</si>
  <si>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</si>
  <si>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</si>
  <si>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</si>
  <si>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</si>
  <si>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</si>
  <si>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</si>
  <si>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</si>
  <si>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</si>
  <si>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Rayons autour de Gennevilliers (92) et de Vernon (27) ; Rouen, Le Havre, Caen</t>
  </si>
  <si>
    <t xml:space="preserve">Mots-clés du kit de vente, section 5 (« pierre naturelle terrasse », « dalle calcaire 30x60 », « pierre calcaire extérieur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</si>
  <si>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</si>
  <si>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</si>
  <si>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</si>
  <si>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</si>
  <si>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</si>
  <si>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</si>
  <si>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</si>
  <si>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</si>
  <si>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</si>
  <si>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</si>
  <si>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</si>
  <si>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</si>
  <si>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</si>
  <si>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</si>
  <si>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</si>
  <si>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</si>
  <si>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</si>
  <si>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</si>
  <si>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</si>
  <si>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</si>
  <si>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</si>
  <si>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</si>
  <si>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</si>
  <si>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propose livraison et pose sur devis à partir de 100 m² ; en dessous, s'associer à des carreleurs ou paysagistes inscrits qui proposent MINYALA dans leurs devis de dallage.</t>
  </si>
  <si>
    <t xml:space="preserve">Salon Maison &amp; Jardin du Havre 2027</t>
  </si>
  <si>
    <t xml:space="preserve">Particuliers du Havre et de la Pointe de Caux en projet maison ou jardin (~12 000 visiteurs attendus)</t>
  </si>
  <si>
    <t xml:space="preserve">26–28 février 2027, Carré des Docks, Le Havre</t>
  </si>
  <si>
    <t xml:space="preserve">Réserver un stand auprès de LÉO : petite terrasse ou plage de piscine en MINYALA, prix au m² affiché, demandes de devis avec consentement écrit.</t>
  </si>
  <si>
    <t xml:space="preserve">Entrée 5 € ; stand sur demande</t>
  </si>
  <si>
    <t xml:space="preserve">Salon Maison de Lisieux 2027</t>
  </si>
  <si>
    <t xml:space="preserve">Propriétaires du Pays d'Auge, dont résidences secondaires (~6 000 visiteurs)</t>
  </si>
  <si>
    <t xml:space="preserve">12–14 février 2027, Parc des Expositions de Lisieux</t>
  </si>
  <si>
    <t xml:space="preserve">Stand pour toucher le Calvados est : terrasses, allées, sols de longères rénovées, salles de bains.</t>
  </si>
  <si>
    <t xml:space="preserve">Entrée 4 € ; stand sur demande</t>
  </si>
  <si>
    <t xml:space="preserve">Salon Habitat de Dreux</t>
  </si>
  <si>
    <t xml:space="preserve">Particuliers d'Eure-et-Loir, du sud de l'Eure et de l'ouest des Yvelines (~5 000 visiteurs)</t>
  </si>
  <si>
    <t xml:space="preserve">13–15 novembre 2026, Parc des Expositions de Dreux</t>
  </si>
  <si>
    <t xml:space="preserve">Juste hors zone (Évreux à ~45 km). Demander un stand de dernière minute, sinon viser 2027.</t>
  </si>
  <si>
    <t xml:space="preserve">Salon Vivre Autrement 2027</t>
  </si>
  <si>
    <t xml:space="preserve">Franciliens attentifs aux matériaux naturels et à l'écohabitat</t>
  </si>
  <si>
    <t xml:space="preserve">26–29 mars 2027, Parc Floral de Paris</t>
  </si>
  <si>
    <t xml:space="preserve">Demander le dossier exposant et vérifier que le secteur habitat / matériaux est accepté. Présenter MINYALA comme pierre naturelle.</t>
  </si>
  <si>
    <t xml:space="preserve">Dossier d'admission</t>
  </si>
  <si>
    <t xml:space="preserve">Fête des Plantes de Saint-Jean de Beauregard</t>
  </si>
  <si>
    <t xml:space="preserve">Jardiniers et propriétaires de maisons avec jardin (91, 78, 92), 200+ exposants</t>
  </si>
  <si>
    <t xml:space="preserve">Printemps et automne ; dates 2027 à confirmer (2026 : 10–12 avril et 25–27 septembre)</t>
  </si>
  <si>
    <t xml:space="preserve">Candidater dans la catégorie aménagement du jardin avec une petite allée en MINYALA. Vérifier les dates avant de s'engager.</t>
  </si>
  <si>
    <t xml:space="preserve">Stand sur demande</t>
  </si>
  <si>
    <t xml:space="preserve">Annuaire des entreprises de Gennevilliers</t>
  </si>
  <si>
    <t xml:space="preserve">Habitants et entreprises de la Boucle Nord des Hauts-de-Seine</t>
  </si>
  <si>
    <t xml:space="preserve">Gennevilliers</t>
  </si>
  <si>
    <t xml:space="preserve">Demander au service Économie et commerces l'inscription du point de retrait (rubrique Matériel de construction), et si Gennevilliers Magazine accepte la publicité.</t>
  </si>
  <si>
    <t xml:space="preserve">Probablement gratuit (à confirmer)</t>
  </si>
  <si>
    <t xml:space="preserve">Apple Business (fiche sur Plans)</t>
  </si>
  <si>
    <t xml:space="preserve">Utilisateurs d'iPhone qui cherchent un fournisseur près de Gennevilliers</t>
  </si>
  <si>
    <t xml:space="preserve">Point de retrait de Gennevilliers, puis Vernon (27) dès que l'adresse est connue</t>
  </si>
  <si>
    <t xml:space="preserve">Créer la fiche avec photos, « sur rendez-vous » et lien vers la boutique, comme la fiche Google.</t>
  </si>
  <si>
    <t xml:space="preserve">Guide-Piscine.fr — fiche entreprise</t>
  </si>
  <si>
    <t xml:space="preserve">Propriétaires et futurs propriétaires de piscine</t>
  </si>
  <si>
    <t xml:space="preserve">France, ciblage par zone possible</t>
  </si>
  <si>
    <t xml:space="preserve">Créer la fiche gratuite (MINYALA pour plages et abords, « selon finition et pose »). Demander les offres de visibilité Île-de-France et Normandie.</t>
  </si>
  <si>
    <t xml:space="preserve">Fiche gratuite ; publicité sur devis</t>
  </si>
  <si>
    <t xml:space="preserve">AlloVoisins Pro</t>
  </si>
  <si>
    <t xml:space="preserve">Particuliers qui publient des demandes de travaux près de chez eux</t>
  </si>
  <si>
    <t xml:space="preserve">France, filtrage local</t>
  </si>
  <si>
    <t xml:space="preserve">Ne pas payer Premier ni Booster : un compte pro gratuit ne peut répondre à rien, Premier engage 12 mois et les demandes locales portent sur la pose. Au plus : l'essai gratuit de 14 jours, sur Gennevilliers, résilié au 12e jour. Voir allovoisins.md.</t>
  </si>
  <si>
    <t xml:space="preserve">Premier dès 29,99 €/mois (auto-entrepreneur) ou 99,99 € HT/mois (entreprise), engagement 12 mois</t>
  </si>
  <si>
    <t xml:space="preserve">Annonces Tendance Ouest — espace pro</t>
  </si>
  <si>
    <t xml:space="preserve">Particuliers normands (rubriques Bricolage et Jardinage)</t>
  </si>
  <si>
    <t xml:space="preserve">Ouvrir un compte pro et demander les conditions pour un vendeur de matériaux, puis publier « Dalles calcaire naturel 30×60, 35 €/m² pierre seule ».</t>
  </si>
  <si>
    <t xml:space="preserve">Régie Ouest (radio Tendance Ouest, Le Courrier Cauchois, La Manche Libre)</t>
  </si>
  <si>
    <t xml:space="preserve">Lecteurs et auditeurs de toute la Normandie</t>
  </si>
  <si>
    <t xml:space="preserve">Demander un devis pour une campagne de printemps (mars–mai) sur le thème terrasse, jardin et piscine.</t>
  </si>
  <si>
    <t xml:space="preserve">Sur devis</t>
  </si>
  <si>
    <t xml:space="preserve">Radio Evasion</t>
  </si>
  <si>
    <t xml:space="preserve">Auditeurs des Yvelines, de l'Essonne, de Seine-et-Marne et de Seine-Maritime (beaucoup de maisons avec jardin)</t>
  </si>
  <si>
    <t xml:space="preserve">Décrochages Yvelines et Seine-Maritime</t>
  </si>
  <si>
    <t xml:space="preserve">Spots courts au printemps (« pierre naturelle pour sol ou terrasse selon pose : 35 €/m² pierre seule, dès 25 m², à retirer à Gennevilliers ou Vernon ») renvoyant vers la fiche produit.</t>
  </si>
  <si>
    <t xml:space="preserve">Patrimoine Normand (revue trimestrielle)</t>
  </si>
  <si>
    <t xml:space="preserve">Propriétaires de maisons anciennes, manoirs et jardins normands</t>
  </si>
  <si>
    <t xml:space="preserve">Demander les conditions annonceurs. Préciser que MINYALA est un calcaire égyptien, pas une pierre normande.</t>
  </si>
  <si>
    <t xml:space="preserve">Sur demande</t>
  </si>
  <si>
    <t xml:space="preserve">Mediaposte — flyers ciblés</t>
  </si>
  <si>
    <t xml:space="preserve">Foyers des quartiers pavillonnaires choisis (Colombes, Bois-Colombes, Argenteuil, Rueil…)</t>
  </si>
  <si>
    <t xml:space="preserve">Île-de-France et Normandie, à la carte</t>
  </si>
  <si>
    <t xml:space="preserve">Flyer « sol, terrasse et abords de piscine en pierre naturelle, selon finition et pose — 35 €/m² pierre seule » avec QR code vers la boutique, distribué dans les zones de maisons autour de Gennevilliers. Respecter les Stop Pub et les règles Oui Pub locales.</t>
  </si>
  <si>
    <t xml:space="preserve">InfoNormandie (site d'actualité locale)</t>
  </si>
  <si>
    <t xml:space="preserve">Presse</t>
  </si>
  <si>
    <t xml:space="preserve">Lecteurs de Rouen, Le Havre, Dieppe, Évreux, Vernon</t>
  </si>
  <si>
    <t xml:space="preserve">Seine-Maritime, Eure</t>
  </si>
  <si>
    <t xml:space="preserve">Proposer un sujet (chantier réalisé en Normandie) via la page de soumission et demander s'il existe des formats publicitaires.</t>
  </si>
  <si>
    <t xml:space="preserve">Aucune offre publiée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</si>
  <si>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</si>
  <si>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</si>
  <si>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</si>
  <si>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</si>
  <si>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</si>
  <si>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</si>
  <si>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ou Vernon. Le tarif pro existe désormais, par devis et facture uniquement.</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</si>
  <si>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</si>
  <si>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</si>
  <si>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</si>
  <si>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</si>
  <si>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</si>
  <si>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</si>
  <si>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</si>
  <si>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</si>
  <si>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</si>
  <si>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</si>
  <si>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</si>
  <si>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</si>
  <si>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</si>
  <si>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</si>
  <si>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</si>
  <si>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</si>
  <si>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</si>
  <si>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</si>
  <si>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</si>
  <si>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</si>
  <si>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</si>
  <si>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</si>
  <si>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</si>
  <si>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</si>
  <si>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</si>
  <si>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</si>
  <si>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</si>
  <si>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</si>
  <si>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Repérer les futurs appels d'offres de dallage. Ne proposer MINYALA pour l'espace public qu'avec des essais (glissance, gel, flexion) adaptés à un calcaire de 2 cm.</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</si>
  <si>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</si>
  <si>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</si>
  <si>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</si>
  <si>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</si>
  <si>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</si>
  <si>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</si>
  <si>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</si>
  <si>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Les Thermalies 2027</t>
  </si>
  <si>
    <t xml:space="preserve">Exploitants de spas et de thalassos (dont Côte Fleurie)</t>
  </si>
  <si>
    <t xml:space="preserve">21–24 janvier 2027, Carrousel du Louvre, Paris</t>
  </si>
  <si>
    <t xml:space="preserve">Repérer les spas qui préparent une rénovation (pavillons « Luxury Spa » et « Innovation Design »).</t>
  </si>
  <si>
    <t xml:space="preserve">Trouville-sur-Mer — réaménagement de la rue des Bains</t>
  </si>
  <si>
    <t xml:space="preserve">Ville, entreprises de voirie, restaurants de la rue</t>
  </si>
  <si>
    <t xml:space="preserve">Réseaux jusqu'au 3 avril 2027, puis nouveau revêtement (date à confirmer)</t>
  </si>
  <si>
    <t xml:space="preserve">Suivre le futur marché de revêtement et contacter les restaurants dont les terrasses seront refaites.</t>
  </si>
  <si>
    <t xml:space="preserve">SIMI 2026 (immobilier d'entreprise)</t>
  </si>
  <si>
    <t xml:space="preserve">Promoteurs et aménageurs</t>
  </si>
  <si>
    <t xml:space="preserve">8–10 décembre 2026, Palais des Congrès de Paris (à confirmer)</t>
  </si>
  <si>
    <t xml:space="preserve">Contacts promoteurs pour halls, commerces en pied d'immeuble et extérieurs. Salon surtout tertiaire.</t>
  </si>
  <si>
    <t xml:space="preserve">Annuaire des showrooms Espace Aubade</t>
  </si>
  <si>
    <t xml:space="preserve">Showrooms carrelage indépendants</t>
  </si>
  <si>
    <t xml:space="preserve">Par département (Île-de-France, Normandie)</t>
  </si>
  <si>
    <t xml:space="preserve">Parcourir l'annuaire par département pour trouver d'autres showrooms indépendants à qui proposer MINYALA.</t>
  </si>
  <si>
    <t xml:space="preserve">Annuaire des magasins Gedimat</t>
  </si>
  <si>
    <t xml:space="preserve">Négoces indépendants avec rayon pavés-dallages</t>
  </si>
  <si>
    <t xml:space="preserve">92, 78, 94, 77, 27, 76</t>
  </si>
  <si>
    <t xml:space="preserve">Contacter les magasins qui ont un rayon Pavés-Dallages et une salle d'exposition (deux sont déjà dans Prospects : Clamart et Houilles).</t>
  </si>
  <si>
    <t xml:space="preserve">Destockplus (déstockage B2B France)</t>
  </si>
  <si>
    <t xml:space="preserve">Pros qui achètent des lots</t>
  </si>
  <si>
    <t xml:space="preserve">France — annonce gratuite (publiée sous 72 h)</t>
  </si>
  <si>
    <t xml:space="preserve">Publier le lot MINYALA (500–2 000 m², tarif pro sur devis — saisir le prix HT convenu dans le champ prix —, dès 25 m², Gennevilliers et Vernon). Vérifier les prix des lots concurrents avant de publier.</t>
  </si>
  <si>
    <t xml:space="preserve">StoneAdd (demandes d'acheteurs pierre)</t>
  </si>
  <si>
    <t xml:space="preserve">Importateurs, grossistes, poseurs</t>
  </si>
  <si>
    <t xml:space="preserve">International — 27 000+ demandes publiques</t>
  </si>
  <si>
    <t xml:space="preserve">Inscription gratuite, coordonnées des acheteurs réservées au Premium. Meilleures demandes trouvées ici (Autriche, Belgique, France) : voir onglet Demandes RFQ.</t>
  </si>
  <si>
    <t xml:space="preserve">StoneContact</t>
  </si>
  <si>
    <t xml:space="preserve">Acheteurs de pierre du monde entier</t>
  </si>
  <si>
    <t xml:space="preserve">International</t>
  </si>
  <si>
    <t xml:space="preserve">Créer le compte gratuit et publier la fiche MINYALA (textes dans rfq-kit.md). Ne payer Diamond (≈ 2 000 $/an, non confirmé) qu'après un mois de mesure.</t>
  </si>
  <si>
    <t xml:space="preserve">Europages</t>
  </si>
  <si>
    <t xml:space="preserve">Acheteurs professionnels européens</t>
  </si>
  <si>
    <t xml:space="preserve">Europe — page entreprise</t>
  </si>
  <si>
    <t xml:space="preserve">Créer la page entreprise gratuite ; tester le « Request Hub » fournisseur (essai gratuit annoncé).</t>
  </si>
  <si>
    <t xml:space="preserve">go4WorldBusiness</t>
  </si>
  <si>
    <t xml:space="preserve">Importateurs (souvent par conteneur)</t>
  </si>
  <si>
    <t xml:space="preserve">International — abonnement dès 75 $/mois</t>
  </si>
  <si>
    <t xml:space="preserve">Seulement si StoneAdd et StoneContact ne suffisent pas : plusieurs demandes européennes de calcaire / marbre crème.</t>
  </si>
  <si>
    <t xml:space="preserve">Acheteurs qui demandent conseil à ChatGPT</t>
  </si>
  <si>
    <t xml:space="preserve">Non disponible (13/10/2026) : réservé aux boutiques qui vendent aux États-Unis</t>
  </si>
  <si>
    <t xml:space="preserve">Pas de canal de vente possible pour l'instant. Visibilité gratuite : les pages du site peuvent être citées par la recherche de ChatGPT. D'ici là : passer les produits « Acompte » en « Non répertorié », remplir les CGV et la politique de remboursement, ajouter des photos réelles.</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</si>
  <si>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</si>
  <si>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</si>
  <si>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</si>
  <si>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</si>
  <si>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Groupe</t>
  </si>
  <si>
    <t xml:space="preserve">Membres (source, date)</t>
  </si>
  <si>
    <t xml:space="preserve">Demande admin le</t>
  </si>
  <si>
    <t xml:space="preserve">Réponse</t>
  </si>
  <si>
    <t xml:space="preserve">Publié le</t>
  </si>
  <si>
    <t xml:space="preserve">VendezVosMateriaux.fr - Vente de matériaux et outils de chantier</t>
  </si>
  <si>
    <t xml:space="preserve">Groupe public matériaux (pros et particuliers)</t>
  </si>
  <si>
    <t xml:space="preserve">46,5 K (vu le 12/10/2026)</t>
  </si>
  <si>
    <t xml:space="preserve">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</si>
  <si>
    <t xml:space="preserve">Capture du 12/10</t>
  </si>
  <si>
    <t xml:space="preserve">12/10/2026</t>
  </si>
  <si>
    <t xml:space="preserve">En attente</t>
  </si>
  <si>
    <t xml:space="preserve">LES PRO DU BÂTIMENT</t>
  </si>
  <si>
    <t xml:space="preserve">Groupe pro</t>
  </si>
  <si>
    <t xml:space="preserve">Non relevé</t>
  </si>
  <si>
    <t xml:space="preserve">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</si>
  <si>
    <t xml:space="preserve">avant le 12/10/2026</t>
  </si>
  <si>
    <t xml:space="preserve">Tu sais que tu viens de Rouen quand…</t>
  </si>
  <si>
    <t xml:space="preserve">Rouen (76)</t>
  </si>
  <si>
    <t xml:space="preserve">Communauté de ville</t>
  </si>
  <si>
    <t xml:space="preserve">45 000+ (Tendance Ouest, 2018) ; ~48 000 (ici.fr, 2019)</t>
  </si>
  <si>
    <t xml:space="preserve">Prioritaire Normandie. Rejoindre avec la Page, lire le règlement, écrire à l'admin avant de publier une seule annonce. Tous les messages y sont validés par l'admin.</t>
  </si>
  <si>
    <t xml:space="preserve">Réseau « Tu sais que tu viens de… » (≈50 groupes)</t>
  </si>
  <si>
    <t xml:space="preserve">Seine-Maritime, Eure, Caen, Lisieux…</t>
  </si>
  <si>
    <t xml:space="preserve">Réseau de groupes</t>
  </si>
  <si>
    <t xml:space="preserve">~500 000 abonnés au total (ici.fr, 2019)</t>
  </si>
  <si>
    <t xml:space="preserve">Plutôt qu'un groupe à la fois : demander à l'administrateur du réseau s'il existe une offre commerçant ou un partenariat payant (« Tu sais que tu viens de gagner » en 2019, à vérifier).</t>
  </si>
  <si>
    <t xml:space="preserve">Tu sais que tu viens de… Caen</t>
  </si>
  <si>
    <t xml:space="preserve">Caen (14)</t>
  </si>
  <si>
    <t xml:space="preserve">Non publié</t>
  </si>
  <si>
    <t xml:space="preserve">Rejoindre avec la Page, lire le règlement, écrire à l'admin avant de publier une seule annonce.</t>
  </si>
  <si>
    <t xml:space="preserve">Tu sais que tu viens de… Le Havre</t>
  </si>
  <si>
    <t xml:space="preserve">Le Havre (76)</t>
  </si>
  <si>
    <t xml:space="preserve">Tu sais que tu viens de… Évreux</t>
  </si>
  <si>
    <t xml:space="preserve">Évreux (27)</t>
  </si>
  <si>
    <t xml:space="preserve">29 000+ (ici.fr, 2016–2019 ; article de 2016 indisponible)</t>
  </si>
  <si>
    <t xml:space="preserve">Rejoindre avec la Page, lire le règlement, écrire à l'admin avant de publier une seule annonce. (Lien relevé dans un article ici.fr de 2016 aujourd'hui indisponible ; source jointe : article ici.fr de 2019 sur le même réseau.)</t>
  </si>
  <si>
    <t xml:space="preserve">Tu sais que tu viens de… Louviers</t>
  </si>
  <si>
    <t xml:space="preserve">Louviers (27)</t>
  </si>
  <si>
    <t xml:space="preserve">Tu sais que tu viens de… Bernay</t>
  </si>
  <si>
    <t xml:space="preserve">Bernay (27)</t>
  </si>
  <si>
    <t xml:space="preserve">Rejoindre avec la Page, lire le règlement, écrire à l'admin avant de publier une seule annonce. Beaucoup de maisons avec jardin.</t>
  </si>
  <si>
    <t xml:space="preserve">Tu sais que tu viens de… Le Neubourg</t>
  </si>
  <si>
    <t xml:space="preserve">Le Neubourg (27)</t>
  </si>
  <si>
    <t xml:space="preserve">Tu sais que tu viens de… Dieppe</t>
  </si>
  <si>
    <t xml:space="preserve">Dieppe (76)</t>
  </si>
  <si>
    <t xml:space="preserve">Vérifier qu'il est actif (source 2016). Rejoindre avec la Page, lire le règlement, écrire à l'admin avant de publier une seule annonce. (Lien relevé dans un article ici.fr de 2016 aujourd'hui indisponible ; source jointe : article ici.fr de 2019 sur le même réseau.)</t>
  </si>
  <si>
    <t xml:space="preserve">Tu sais que tu viens de… Fécamp</t>
  </si>
  <si>
    <t xml:space="preserve">Fécamp (76)</t>
  </si>
  <si>
    <t xml:space="preserve">Résidences secondaires du littoral. Rejoindre avec la Page, lire le règlement, écrire à l'admin avant de publier une seule annonce. (Lien relevé dans un article ici.fr de 2016 aujourd'hui indisponible ; source jointe : article ici.fr de 2019 sur le même réseau.)</t>
  </si>
  <si>
    <t xml:space="preserve">Tu sais que tu viens de… Yvetot</t>
  </si>
  <si>
    <t xml:space="preserve">Yvetot (76)</t>
  </si>
  <si>
    <t xml:space="preserve">Tu sais que tu viens de… Barentin</t>
  </si>
  <si>
    <t xml:space="preserve">Barentin (76)</t>
  </si>
  <si>
    <t xml:space="preserve">Tu sais que tu viens de… Bolbec</t>
  </si>
  <si>
    <t xml:space="preserve">Bolbec (76)</t>
  </si>
  <si>
    <t xml:space="preserve">Tu sais que tu viens de… Pavilly</t>
  </si>
  <si>
    <t xml:space="preserve">Pavilly (76)</t>
  </si>
  <si>
    <t xml:space="preserve">Tu sais que tu viens de… Lillebonne</t>
  </si>
  <si>
    <t xml:space="preserve">Lillebonne (76)</t>
  </si>
  <si>
    <t xml:space="preserve">Tu sais que tu viens de… Notre-Dame-de-Gravenchon</t>
  </si>
  <si>
    <t xml:space="preserve">Port-Jérôme-sur-Seine (76)</t>
  </si>
  <si>
    <t xml:space="preserve">Petit groupe, priorité basse. Rejoindre avec la Page, lire le règlement, écrire à l'admin avant de publier une seule annonce. (Lien relevé dans un article ici.fr de 2016 aujourd'hui indisponible ; source jointe : article ici.fr de 2019 sur le même réseau.)</t>
  </si>
  <si>
    <t xml:space="preserve">Tu sais que tu viens de… Saint-Romain-de-Colbosc</t>
  </si>
  <si>
    <t xml:space="preserve">Saint-Romain-de-Colbosc (76)</t>
  </si>
  <si>
    <t xml:space="preserve">Groupe de la ville de Rueil-Malmaison</t>
  </si>
  <si>
    <t xml:space="preserve">Rueil-Malmaison (92)</t>
  </si>
  <si>
    <t xml:space="preserve">12 000+ (ici.fr, 2024)</t>
  </si>
  <si>
    <t xml:space="preserve">Prioritaire Île-de-France : les commerçants y publient déjà. Rejoindre avec la Page, lire le règlement, écrire à l'admin avant de publier une seule annonce.</t>
  </si>
  <si>
    <t xml:space="preserve">Groupe de quartier Vallée de Fécamp / Picpus</t>
  </si>
  <si>
    <t xml:space="preserve">Paris 12e</t>
  </si>
  <si>
    <t xml:space="preserve">Priorité basse (surtout des appartements). Seulement si le règlement accepte les pros.</t>
  </si>
  <si>
    <t xml:space="preserve">Artisans et Auto-entrepreneurs</t>
  </si>
  <si>
    <t xml:space="preserve">France (B2B)</t>
  </si>
  <si>
    <t xml:space="preserve">~5 400, privé (2023)</t>
  </si>
  <si>
    <t xml:space="preserve">Groupe privé (~5 400, 2023). Vérifier qu'il est réservé aux pros avant d'y publier le prix pro. Se présenter comme fournisseur ; pas de démarchage en message privé.</t>
  </si>
  <si>
    <t xml:space="preserve">• Liens et effectifs viennent d'articles de presse (2016–2024) : vérifiez que chaque groupe existe toujours, son nom exact et son règlement une fois connecté.</t>
  </si>
  <si>
    <t xml:space="preserve">• Une Page ne peut que demander à rejoindre un groupe ; si les Pages ne sont pas admises, demandez à l'admin comment un professionnel peut publier.</t>
  </si>
  <si>
    <t xml:space="preserve">•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</si>
  <si>
    <t xml:space="preserve">• Jamais d'extraction de membres ni de messages privés non sollicités aux membres (RGPD et règles de Facebook).</t>
  </si>
  <si>
    <t xml:space="preserve">Date</t>
  </si>
  <si>
    <t xml:space="preserve">Source (Leboncoin, AlloVoisins, Instagram…)</t>
  </si>
  <si>
    <t xml:space="preserve">Ville</t>
  </si>
  <si>
    <t xml:space="preserve">Surface (m²)</t>
  </si>
  <si>
    <t xml:space="preserve">Usage</t>
  </si>
  <si>
    <t xml:space="preserve">Notes (sans téléphone, e-mail ni adresse)</t>
  </si>
  <si>
    <t xml:space="preserve">Une ligne par demande de particulier. Ne notez pas ses coordonnées : elles restent dans la messagerie de la plateforme ou sur la facture.</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</si>
</sst>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
      <u val="single"/>
      <sz val="11"/>
      <color rgb="FF1F5FBF"/>
      <name val="Cambria"/>
      <family val="0"/>
      <charset val="1"/>
    </font>
  </fonts>
  <fills count="4">
    <fill>
      <patternFill patternType="none"/>
    </fill>
    <fill>
      <patternFill patternType="gray125"/>
    </fill>
    <fill>
      <patternFill patternType="solid">
        <fgColor rgb="FF2F4F3E"/>
        <bgColor rgb="FF333300"/>
      </patternFill>
    </fill>
    <fill>
      <patternFill patternType="solid">
        <fgColor rgb="FFFFF4C2"/>
        <bgColor rgb="FFFFFF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true" indent="0" shrinkToFit="false"/>
      <protection locked="true" hidden="false"/>
    </xf>
    <xf numFmtId="164" fontId="0" fillId="3" borderId="0" xfId="0" applyFont="fals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abl-negoce.fr/" TargetMode="External"/><Relationship Id="rId2" Type="http://schemas.openxmlformats.org/officeDocument/2006/relationships/hyperlink" Target="https://www.abl-negoce.fr/pierres-gres-ardoise-calvados.php" TargetMode="External"/><Relationship Id="rId3" Type="http://schemas.openxmlformats.org/officeDocument/2006/relationships/hyperlink" Target="https://magasins.bigmat.fr/normandie/eure/evreux/bigmat-evreux-mvr-materiaux-144" TargetMode="External"/><Relationship Id="rId4" Type="http://schemas.openxmlformats.org/officeDocument/2006/relationships/hyperlink" Target="https://www.118712.fr/professionnels/WUNQVlVSFQA" TargetMode="External"/><Relationship Id="rId5" Type="http://schemas.openxmlformats.org/officeDocument/2006/relationships/hyperlink" Target="https://www.carrelages-dente.fr/" TargetMode="External"/><Relationship Id="rId6" Type="http://schemas.openxmlformats.org/officeDocument/2006/relationships/hyperlink" Target="https://www.carrelages-dente.fr/" TargetMode="External"/><Relationship Id="rId7" Type="http://schemas.openxmlformats.org/officeDocument/2006/relationships/hyperlink" Target="https://www.pagesjaunes.fr/pros/60994953" TargetMode="External"/><Relationship Id="rId8" Type="http://schemas.openxmlformats.org/officeDocument/2006/relationships/hyperlink" Target="https://www.lemondedelapierre.fr/" TargetMode="External"/><Relationship Id="rId9" Type="http://schemas.openxmlformats.org/officeDocument/2006/relationships/hyperlink" Target="https://www.lemondedelapierre.fr/" TargetMode="External"/><Relationship Id="rId10" Type="http://schemas.openxmlformats.org/officeDocument/2006/relationships/hyperlink" Target="https://www.midi-carrelage.fr/" TargetMode="External"/><Relationship Id="rId11" Type="http://schemas.openxmlformats.org/officeDocument/2006/relationships/hyperlink" Target="https://www.118712.fr/professionnels/X0RYXFJXFAI" TargetMode="External"/><Relationship Id="rId12" Type="http://schemas.openxmlformats.org/officeDocument/2006/relationships/hyperlink" Target="https://www.nivault.com/" TargetMode="External"/><Relationship Id="rId13" Type="http://schemas.openxmlformats.org/officeDocument/2006/relationships/hyperlink" Target="https://www.nivault.com/" TargetMode="External"/><Relationship Id="rId14" Type="http://schemas.openxmlformats.org/officeDocument/2006/relationships/hyperlink" Target="https://www.paysagesconseil.fr/paysagiste-caen/" TargetMode="External"/><Relationship Id="rId15" Type="http://schemas.openxmlformats.org/officeDocument/2006/relationships/hyperlink" Target="https://www.paysagesconseil.fr/paysagiste-caen/" TargetMode="External"/><Relationship Id="rId16" Type="http://schemas.openxmlformats.org/officeDocument/2006/relationships/hyperlink" Target="https://www.pillaud-materiaux.com/" TargetMode="External"/><Relationship Id="rId17" Type="http://schemas.openxmlformats.org/officeDocument/2006/relationships/hyperlink" Target="https://www.pillaud-materiaux.com/" TargetMode="External"/><Relationship Id="rId18" Type="http://schemas.openxmlformats.org/officeDocument/2006/relationships/hyperlink" Target="https://www.sedelka.fr/" TargetMode="External"/><Relationship Id="rId19" Type="http://schemas.openxmlformats.org/officeDocument/2006/relationships/hyperlink" Target="https://www.sedelka.fr/" TargetMode="External"/><Relationship Id="rId20" Type="http://schemas.openxmlformats.org/officeDocument/2006/relationships/hyperlink" Target="https://www.solmur.fr/" TargetMode="External"/><Relationship Id="rId21" Type="http://schemas.openxmlformats.org/officeDocument/2006/relationships/hyperlink" Target="https://www.118712.fr/professionnels/X0VYXVVRHQU" TargetMode="External"/><Relationship Id="rId22" Type="http://schemas.openxmlformats.org/officeDocument/2006/relationships/hyperlink" Target="https://www.tendancecarrelagesrouen.fr/" TargetMode="External"/><Relationship Id="rId23" Type="http://schemas.openxmlformats.org/officeDocument/2006/relationships/hyperlink" Target="https://www.tendancecarrelagesrouen.fr/" TargetMode="External"/><Relationship Id="rId24" Type="http://schemas.openxmlformats.org/officeDocument/2006/relationships/hyperlink" Target="https://www.torchio.fr/" TargetMode="External"/><Relationship Id="rId25" Type="http://schemas.openxmlformats.org/officeDocument/2006/relationships/hyperlink" Target="https://www.torchio.fr/showrooms-7.html" TargetMode="External"/><Relationship Id="rId26" Type="http://schemas.openxmlformats.org/officeDocument/2006/relationships/hyperlink" Target="https://www.tragin-sa.com/" TargetMode="External"/><Relationship Id="rId27" Type="http://schemas.openxmlformats.org/officeDocument/2006/relationships/hyperlink" Target="https://www.tragin-sa.com/" TargetMode="External"/><Relationship Id="rId28" Type="http://schemas.openxmlformats.org/officeDocument/2006/relationships/hyperlink" Target="https://www.batimantes.fr/" TargetMode="External"/><Relationship Id="rId29" Type="http://schemas.openxmlformats.org/officeDocument/2006/relationships/hyperlink" Target="https://www.espace-aubade.fr/magasins/colombes-193.html" TargetMode="External"/><Relationship Id="rId30" Type="http://schemas.openxmlformats.org/officeDocument/2006/relationships/hyperlink" Target="https://coignieres.mondial-piscine.eu/" TargetMode="External"/><Relationship Id="rId31" Type="http://schemas.openxmlformats.org/officeDocument/2006/relationships/hyperlink" Target="https://www.mondial-piscine.eu/trouver-un-concessionnaire/ile-de-france-fr/belles-piscines-coignieres/" TargetMode="External"/><Relationship Id="rId32" Type="http://schemas.openxmlformats.org/officeDocument/2006/relationships/hyperlink" Target="https://magasins.bigmat.fr/ile-de-france/yvelines/mareil-sur-mauldre/bigmat-mareil-sur-mauldre-aubert-materiaux-240" TargetMode="External"/><Relationship Id="rId33" Type="http://schemas.openxmlformats.org/officeDocument/2006/relationships/hyperlink" Target="https://www.carrelage-design-95.fr/" TargetMode="External"/><Relationship Id="rId34" Type="http://schemas.openxmlformats.org/officeDocument/2006/relationships/hyperlink" Target="https://www.carrelage-design-95.fr/" TargetMode="External"/><Relationship Id="rId35" Type="http://schemas.openxmlformats.org/officeDocument/2006/relationships/hyperlink" Target="https://www.carrelage-roger.com/" TargetMode="External"/><Relationship Id="rId36" Type="http://schemas.openxmlformats.org/officeDocument/2006/relationships/hyperlink" Target="https://www.carrelage-roger.com/content/14-carrelage-roger-herblay" TargetMode="External"/><Relationship Id="rId37" Type="http://schemas.openxmlformats.org/officeDocument/2006/relationships/hyperlink" Target="https://www.118712.fr/annuaire/region/ile-de-france/grossiste-pierres-naturelles" TargetMode="External"/><Relationship Id="rId38" Type="http://schemas.openxmlformats.org/officeDocument/2006/relationships/hyperlink" Target="https://www.ceramico.fr/" TargetMode="External"/><Relationship Id="rId39" Type="http://schemas.openxmlformats.org/officeDocument/2006/relationships/hyperlink" Target="https://www.ceramico.fr/" TargetMode="External"/><Relationship Id="rId40" Type="http://schemas.openxmlformats.org/officeDocument/2006/relationships/hyperlink" Target="https://www.decomarbre.fr/" TargetMode="External"/><Relationship Id="rId41" Type="http://schemas.openxmlformats.org/officeDocument/2006/relationships/hyperlink" Target="https://www.118712.fr/professionnels/X0JUXVFWFQQ" TargetMode="External"/><Relationship Id="rId42" Type="http://schemas.openxmlformats.org/officeDocument/2006/relationships/hyperlink" Target="https://flipo.fr/" TargetMode="External"/><Relationship Id="rId43" Type="http://schemas.openxmlformats.org/officeDocument/2006/relationships/hyperlink" Target="https://flipo.fr/expertises/carrelage-et-marbrerie/" TargetMode="External"/><Relationship Id="rId44" Type="http://schemas.openxmlformats.org/officeDocument/2006/relationships/hyperlink" Target="https://www.gedimat.fr/2264-magasin-gedimat-aux-docks-de-clamart-clamart.htm" TargetMode="External"/><Relationship Id="rId45" Type="http://schemas.openxmlformats.org/officeDocument/2006/relationships/hyperlink" Target="https://www.gedimat.fr/2264-magasin-gedimat-aux-docks-de-clamart-clamart.htm" TargetMode="External"/><Relationship Id="rId46" Type="http://schemas.openxmlformats.org/officeDocument/2006/relationships/hyperlink" Target="https://www.gedimat.fr/2034-magasin-gedimat-sefor-houilles.htm" TargetMode="External"/><Relationship Id="rId47" Type="http://schemas.openxmlformats.org/officeDocument/2006/relationships/hyperlink" Target="https://www.gedimat.fr/2034-magasin-gedimat-sefor-houilles.htm" TargetMode="External"/><Relationship Id="rId48" Type="http://schemas.openxmlformats.org/officeDocument/2006/relationships/hyperlink" Target="https://kap-carrelage.store/" TargetMode="External"/><Relationship Id="rId49" Type="http://schemas.openxmlformats.org/officeDocument/2006/relationships/hyperlink" Target="https://kap-carrelage.store/" TargetMode="External"/><Relationship Id="rId50" Type="http://schemas.openxmlformats.org/officeDocument/2006/relationships/hyperlink" Target="https://www.118712.fr/annuaire/region/ile-de-france/grossiste-pierres-naturelles" TargetMode="External"/><Relationship Id="rId51" Type="http://schemas.openxmlformats.org/officeDocument/2006/relationships/hyperlink" Target="https://leholloco.com/" TargetMode="External"/><Relationship Id="rId52" Type="http://schemas.openxmlformats.org/officeDocument/2006/relationships/hyperlink" Target="https://www.leholloco.com/agences" TargetMode="External"/><Relationship Id="rId53" Type="http://schemas.openxmlformats.org/officeDocument/2006/relationships/hyperlink" Target="https://lemondedesjardins.fr/" TargetMode="External"/><Relationship Id="rId54" Type="http://schemas.openxmlformats.org/officeDocument/2006/relationships/hyperlink" Target="https://lemondedesjardins.fr/services/maconnerie-paysagere/" TargetMode="External"/><Relationship Id="rId55" Type="http://schemas.openxmlformats.org/officeDocument/2006/relationships/hyperlink" Target="https://www.mca-materiaux.com/" TargetMode="External"/><Relationship Id="rId56" Type="http://schemas.openxmlformats.org/officeDocument/2006/relationships/hyperlink" Target="https://negoce.france-materiaux.fr/251-mca-materiaux-cuisines-amenagements" TargetMode="External"/><Relationship Id="rId57" Type="http://schemas.openxmlformats.org/officeDocument/2006/relationships/hyperlink" Target="https://www.mdy-france.com/" TargetMode="External"/><Relationship Id="rId58" Type="http://schemas.openxmlformats.org/officeDocument/2006/relationships/hyperlink" Target="https://www.mdy-france.com/nos-showrooms/" TargetMode="External"/><Relationship Id="rId59" Type="http://schemas.openxmlformats.org/officeDocument/2006/relationships/hyperlink" Target="https://www.mpt-marbrier.fr/" TargetMode="External"/><Relationship Id="rId60" Type="http://schemas.openxmlformats.org/officeDocument/2006/relationships/hyperlink" Target="https://www.mpt-marbrier.fr/" TargetMode="External"/><Relationship Id="rId61" Type="http://schemas.openxmlformats.org/officeDocument/2006/relationships/hyperlink" Target="https://www.118712.fr/annuaire/region/ile-de-france/grossiste-pierres-naturelles" TargetMode="External"/><Relationship Id="rId62" Type="http://schemas.openxmlformats.org/officeDocument/2006/relationships/hyperlink" Target="https://www.pmc-marbrerie.com/" TargetMode="External"/><Relationship Id="rId63" Type="http://schemas.openxmlformats.org/officeDocument/2006/relationships/hyperlink" Target="https://www.pmc-marbrerie.com/contact" TargetMode="External"/><Relationship Id="rId64" Type="http://schemas.openxmlformats.org/officeDocument/2006/relationships/hyperlink" Target="https://www.118712.fr/annuaire/region/ile-de-france/grossiste-pierres-naturelles" TargetMode="External"/><Relationship Id="rId65" Type="http://schemas.openxmlformats.org/officeDocument/2006/relationships/hyperlink" Target="https://www.palatino.fr/" TargetMode="External"/><Relationship Id="rId66" Type="http://schemas.openxmlformats.org/officeDocument/2006/relationships/hyperlink" Target="https://palatino.fr/contact/" TargetMode="External"/><Relationship Id="rId67" Type="http://schemas.openxmlformats.org/officeDocument/2006/relationships/hyperlink" Target="https://www.parquet-carrelage.com/" TargetMode="External"/><Relationship Id="rId68" Type="http://schemas.openxmlformats.org/officeDocument/2006/relationships/hyperlink" Target="https://www.118712.fr/professionnels/WkBVW19QFAA" TargetMode="External"/><Relationship Id="rId69" Type="http://schemas.openxmlformats.org/officeDocument/2006/relationships/hyperlink" Target="https://www.pierluxpierrenaturelle.fr/" TargetMode="External"/><Relationship Id="rId70" Type="http://schemas.openxmlformats.org/officeDocument/2006/relationships/hyperlink" Target="https://www.118712.fr/professionnels/WkNYXVdSHQE" TargetMode="External"/><Relationship Id="rId71" Type="http://schemas.openxmlformats.org/officeDocument/2006/relationships/hyperlink" Target="https://pierres-nat.com/" TargetMode="External"/><Relationship Id="rId72" Type="http://schemas.openxmlformats.org/officeDocument/2006/relationships/hyperlink" Target="https://pierres-nat.com/vente-de-pierres-naturelles-dans-les-yvelines/" TargetMode="External"/><Relationship Id="rId73" Type="http://schemas.openxmlformats.org/officeDocument/2006/relationships/hyperlink" Target="https://www.pagesjaunes.fr/annuaire/piscop-95/vente-de-carrelages-dallages" TargetMode="External"/><Relationship Id="rId74" Type="http://schemas.openxmlformats.org/officeDocument/2006/relationships/hyperlink" Target="https://raboni.fr/" TargetMode="External"/><Relationship Id="rId75" Type="http://schemas.openxmlformats.org/officeDocument/2006/relationships/hyperlink" Target="https://www.pagesjaunes.fr/annuaire/departement/hauts-de-seine-92/vente-de-carrelages-dallages" TargetMode="External"/><Relationship Id="rId76" Type="http://schemas.openxmlformats.org/officeDocument/2006/relationships/hyperlink" Target="https://www.sauvaje.fr/" TargetMode="External"/><Relationship Id="rId77" Type="http://schemas.openxmlformats.org/officeDocument/2006/relationships/hyperlink" Target="https://www.sauvaje.fr/paysagiste-saint-cloud" TargetMode="External"/><Relationship Id="rId78" Type="http://schemas.openxmlformats.org/officeDocument/2006/relationships/hyperlink" Target="https://negoce.france-materiaux.fr/369-societe-nouvelle-nmc" TargetMode="External"/><Relationship Id="rId79" Type="http://schemas.openxmlformats.org/officeDocument/2006/relationships/hyperlink" Target="https://negoce.france-materiaux.fr/369-societe-nouvelle-nmc" TargetMode="External"/><Relationship Id="rId80" Type="http://schemas.openxmlformats.org/officeDocument/2006/relationships/hyperlink" Target="https://travaux.obat.fr/amenagements-exterieurs/normandie" TargetMode="External"/><Relationship Id="rId81" Type="http://schemas.openxmlformats.org/officeDocument/2006/relationships/hyperlink" Target="https://www.architea.fr/architea-pays-auge-cote-fleurie/" TargetMode="External"/><Relationship Id="rId82" Type="http://schemas.openxmlformats.org/officeDocument/2006/relationships/hyperlink" Target="https://www.architea.fr/architea-pays-auge-cote-fleurie/" TargetMode="External"/><Relationship Id="rId83" Type="http://schemas.openxmlformats.org/officeDocument/2006/relationships/hyperlink" Target="https://www.arcytis.com/" TargetMode="External"/><Relationship Id="rId84" Type="http://schemas.openxmlformats.org/officeDocument/2006/relationships/hyperlink" Target="https://www.arcytis.com/" TargetMode="External"/><Relationship Id="rId85" Type="http://schemas.openxmlformats.org/officeDocument/2006/relationships/hyperlink" Target="https://www.argilesdecoration.com/" TargetMode="External"/><Relationship Id="rId86" Type="http://schemas.openxmlformats.org/officeDocument/2006/relationships/hyperlink" Target="https://www.houzz.fr/professionnels/artisan-et-entreprise-generale-de-batiment/argiles-decoration-pfvwfr-pf~256113164" TargetMode="External"/><Relationship Id="rId87" Type="http://schemas.openxmlformats.org/officeDocument/2006/relationships/hyperlink" Target="https://www.hemon-architectes.com/" TargetMode="External"/><Relationship Id="rId88" Type="http://schemas.openxmlformats.org/officeDocument/2006/relationships/hyperlink" Target="https://www.houzz.fr/professionnels/architecte/atelier-d-architecture-emmanuel-hemon-pfvwfr-pf~437994722" TargetMode="External"/><Relationship Id="rId89" Type="http://schemas.openxmlformats.org/officeDocument/2006/relationships/hyperlink" Target="https://atelierdelapierremarbreetgranits.site-solocal.com/" TargetMode="External"/><Relationship Id="rId90" Type="http://schemas.openxmlformats.org/officeDocument/2006/relationships/hyperlink" Target="https://atelierdelapierremarbreetgranits.site-solocal.com/" TargetMode="External"/><Relationship Id="rId91" Type="http://schemas.openxmlformats.org/officeDocument/2006/relationships/hyperlink" Target="https://barbedettepaysage.fr/" TargetMode="External"/><Relationship Id="rId92" Type="http://schemas.openxmlformats.org/officeDocument/2006/relationships/hyperlink" Target="https://www.118712.fr/professionnels/X0NXXVJXGQg" TargetMode="External"/><Relationship Id="rId93" Type="http://schemas.openxmlformats.org/officeDocument/2006/relationships/hyperlink" Target="https://www.pagesjaunes.fr/pros/60838606" TargetMode="External"/><Relationship Id="rId94" Type="http://schemas.openxmlformats.org/officeDocument/2006/relationships/hyperlink" Target="https://www.bienetreconfort.fr/" TargetMode="External"/><Relationship Id="rId95" Type="http://schemas.openxmlformats.org/officeDocument/2006/relationships/hyperlink" Target="https://www.bienetreconfort.fr/fr/nos-realisations/" TargetMode="External"/><Relationship Id="rId96" Type="http://schemas.openxmlformats.org/officeDocument/2006/relationships/hyperlink" Target="https://magasins.bigmat.fr/normandie/eure/ezy-sur-eure/bigmat-ezy-sur-eure-guillot-et-cie-146" TargetMode="External"/><Relationship Id="rId97" Type="http://schemas.openxmlformats.org/officeDocument/2006/relationships/hyperlink" Target="https://www.bohinjardin.fr/" TargetMode="External"/><Relationship Id="rId98" Type="http://schemas.openxmlformats.org/officeDocument/2006/relationships/hyperlink" Target="https://www.bohinjardin.fr/activites-constructeur+de+piscine+beton+haut+de+gamme+en+normandie+pres+de+chez+moi-210" TargetMode="External"/><Relationship Id="rId99" Type="http://schemas.openxmlformats.org/officeDocument/2006/relationships/hyperlink" Target="https://www.pagesjaunes.fr/pros/54087106" TargetMode="External"/><Relationship Id="rId100" Type="http://schemas.openxmlformats.org/officeDocument/2006/relationships/hyperlink" Target="https://www.pagesjaunes.fr/pros/61986622" TargetMode="External"/><Relationship Id="rId101" Type="http://schemas.openxmlformats.org/officeDocument/2006/relationships/hyperlink" Target="https://www.conceptinterieurdeauville.com/" TargetMode="External"/><Relationship Id="rId102" Type="http://schemas.openxmlformats.org/officeDocument/2006/relationships/hyperlink" Target="https://www.conceptinterieurdeauville.com/" TargetMode="External"/><Relationship Id="rId103" Type="http://schemas.openxmlformats.org/officeDocument/2006/relationships/hyperlink" Target="https://www.piscines-delalande.fr/" TargetMode="External"/><Relationship Id="rId104" Type="http://schemas.openxmlformats.org/officeDocument/2006/relationships/hyperlink" Target="https://www.piscines-delalande.fr/local/pisciniste-normandie/pisciniste-caen/" TargetMode="External"/><Relationship Id="rId105" Type="http://schemas.openxmlformats.org/officeDocument/2006/relationships/hyperlink" Target="https://travaux.obat.fr/amenagements-exterieurs/normandie" TargetMode="External"/><Relationship Id="rId106" Type="http://schemas.openxmlformats.org/officeDocument/2006/relationships/hyperlink" Target="https://www.pagesjaunes.fr/pros/51658175" TargetMode="External"/><Relationship Id="rId107" Type="http://schemas.openxmlformats.org/officeDocument/2006/relationships/hyperlink" Target="https://www.frazzi.fr/" TargetMode="External"/><Relationship Id="rId108" Type="http://schemas.openxmlformats.org/officeDocument/2006/relationships/hyperlink" Target="https://www.118712.fr/professionnels/X0dYWVZWGQM" TargetMode="External"/><Relationship Id="rId109" Type="http://schemas.openxmlformats.org/officeDocument/2006/relationships/hyperlink" Target="https://www.pagesjaunes.fr/pros/53540225" TargetMode="External"/><Relationship Id="rId110" Type="http://schemas.openxmlformats.org/officeDocument/2006/relationships/hyperlink" Target="https://travaux.obat.fr/amenagements-exterieurs/normandie" TargetMode="External"/><Relationship Id="rId111" Type="http://schemas.openxmlformats.org/officeDocument/2006/relationships/hyperlink" Target="https://ginicarrelage.fr/" TargetMode="External"/><Relationship Id="rId112" Type="http://schemas.openxmlformats.org/officeDocument/2006/relationships/hyperlink" Target="https://ginicarrelage.fr/" TargetMode="External"/><Relationship Id="rId113" Type="http://schemas.openxmlformats.org/officeDocument/2006/relationships/hyperlink" Target="https://www.paysagiste-auberville.fr/" TargetMode="External"/><Relationship Id="rId114" Type="http://schemas.openxmlformats.org/officeDocument/2006/relationships/hyperlink" Target="https://www.houzz.fr/professionnels/paysagiste-et-architecte-paysagiste/guerin-parcs-et-jardins-pfvwfr-pf~631281141" TargetMode="External"/><Relationship Id="rId115" Type="http://schemas.openxmlformats.org/officeDocument/2006/relationships/hyperlink" Target="https://travaux.obat.fr/amenagements-exterieurs/normandie" TargetMode="External"/><Relationship Id="rId116" Type="http://schemas.openxmlformats.org/officeDocument/2006/relationships/hyperlink" Target="https://granits-materiaux.fr/" TargetMode="External"/><Relationship Id="rId117" Type="http://schemas.openxmlformats.org/officeDocument/2006/relationships/hyperlink" Target="https://granits-materiaux.fr/" TargetMode="External"/><Relationship Id="rId118" Type="http://schemas.openxmlformats.org/officeDocument/2006/relationships/hyperlink" Target="https://www.honnetconstructions.fr/" TargetMode="External"/><Relationship Id="rId119" Type="http://schemas.openxmlformats.org/officeDocument/2006/relationships/hyperlink" Target="https://www.honnetconstructions.fr/" TargetMode="External"/><Relationship Id="rId120" Type="http://schemas.openxmlformats.org/officeDocument/2006/relationships/hyperlink" Target="https://www.jardinpassions.fr/" TargetMode="External"/><Relationship Id="rId121" Type="http://schemas.openxmlformats.org/officeDocument/2006/relationships/hyperlink" Target="https://www.jardinpassions.fr/construction-piscine-rouen/" TargetMode="External"/><Relationship Id="rId122" Type="http://schemas.openxmlformats.org/officeDocument/2006/relationships/hyperlink" Target="https://www.la-roche-taillee.fr/" TargetMode="External"/><Relationship Id="rId123" Type="http://schemas.openxmlformats.org/officeDocument/2006/relationships/hyperlink" Target="https://www.118712.fr/professionnels/X0JYXl5VHwU" TargetMode="External"/><Relationship Id="rId124" Type="http://schemas.openxmlformats.org/officeDocument/2006/relationships/hyperlink" Target="https://www.larcher.fr/" TargetMode="External"/><Relationship Id="rId125" Type="http://schemas.openxmlformats.org/officeDocument/2006/relationships/hyperlink" Target="https://www.esprit-piscine.fr/larcher-piscines/" TargetMode="External"/><Relationship Id="rId126" Type="http://schemas.openxmlformats.org/officeDocument/2006/relationships/hyperlink" Target="https://www.lesdemeuresdeprovince.fr/" TargetMode="External"/><Relationship Id="rId127" Type="http://schemas.openxmlformats.org/officeDocument/2006/relationships/hyperlink" Target="https://www.houzz.fr/professionnels/constructeur-de-maison-et-promoteur/les-demeures-de-province-pfvwfr-pf~505283288" TargetMode="External"/><Relationship Id="rId128" Type="http://schemas.openxmlformats.org/officeDocument/2006/relationships/hyperlink" Target="https://www.lespiscinesmoreau.com/" TargetMode="External"/><Relationship Id="rId129" Type="http://schemas.openxmlformats.org/officeDocument/2006/relationships/hyperlink" Target="https://www.lespiscinesmoreau.com/" TargetMode="External"/><Relationship Id="rId130" Type="http://schemas.openxmlformats.org/officeDocument/2006/relationships/hyperlink" Target="https://travaux.obat.fr/amenagements-exterieurs/le-havre" TargetMode="External"/><Relationship Id="rId131" Type="http://schemas.openxmlformats.org/officeDocument/2006/relationships/hyperlink" Target="https://www.maillard.fr/magasins" TargetMode="External"/><Relationship Id="rId132" Type="http://schemas.openxmlformats.org/officeDocument/2006/relationships/hyperlink" Target="https://www.maillard.fr/magasins" TargetMode="External"/><Relationship Id="rId133" Type="http://schemas.openxmlformats.org/officeDocument/2006/relationships/hyperlink" Target="https://www.maisonslucas.fr/" TargetMode="External"/><Relationship Id="rId134" Type="http://schemas.openxmlformats.org/officeDocument/2006/relationships/hyperlink" Target="https://www.maisonslucas.fr/" TargetMode="External"/><Relationship Id="rId135" Type="http://schemas.openxmlformats.org/officeDocument/2006/relationships/hyperlink" Target="https://www.marbresettendances.com/" TargetMode="External"/><Relationship Id="rId136" Type="http://schemas.openxmlformats.org/officeDocument/2006/relationships/hyperlink" Target="https://www.marbresettendances.com/dallage-pierre-pxl-33.html" TargetMode="External"/><Relationship Id="rId137" Type="http://schemas.openxmlformats.org/officeDocument/2006/relationships/hyperlink" Target="https://www.pagesjaunes.fr/annuaire/departement/eure-27/pierres-naturelles" TargetMode="External"/><Relationship Id="rId138" Type="http://schemas.openxmlformats.org/officeDocument/2006/relationships/hyperlink" Target="https://www.pagesjaunes.fr/pros/08249892" TargetMode="External"/><Relationship Id="rId139" Type="http://schemas.openxmlformats.org/officeDocument/2006/relationships/hyperlink" Target="http://www.muretsol.fr/" TargetMode="External"/><Relationship Id="rId140" Type="http://schemas.openxmlformats.org/officeDocument/2006/relationships/hyperlink" Target="http://www.muretsol.fr/" TargetMode="External"/><Relationship Id="rId141" Type="http://schemas.openxmlformats.org/officeDocument/2006/relationships/hyperlink" Target="https://www.piolain-carrelage.fr/" TargetMode="External"/><Relationship Id="rId142" Type="http://schemas.openxmlformats.org/officeDocument/2006/relationships/hyperlink" Target="https://www.pagesjaunes.fr/pros/08983835" TargetMode="External"/><Relationship Id="rId143" Type="http://schemas.openxmlformats.org/officeDocument/2006/relationships/hyperlink" Target="https://www.piscines-de-france.fr/piscinistes/pisciniste-le-havre" TargetMode="External"/><Relationship Id="rId144" Type="http://schemas.openxmlformats.org/officeDocument/2006/relationships/hyperlink" Target="https://www.piscines-de-france.fr/piscinistes/pisciniste-le-havre" TargetMode="External"/><Relationship Id="rId145" Type="http://schemas.openxmlformats.org/officeDocument/2006/relationships/hyperlink" Target="https://www.piscinesetabrisnordouest.fr/" TargetMode="External"/><Relationship Id="rId146" Type="http://schemas.openxmlformats.org/officeDocument/2006/relationships/hyperlink" Target="https://www.piscinesetabrisnordouest.fr/" TargetMode="External"/><Relationship Id="rId147" Type="http://schemas.openxmlformats.org/officeDocument/2006/relationships/hyperlink" Target="https://www.rpay.fr/" TargetMode="External"/><Relationship Id="rId148" Type="http://schemas.openxmlformats.org/officeDocument/2006/relationships/hyperlink" Target="https://www.118712.fr/professionnels/WkRUXFBQHgY" TargetMode="External"/><Relationship Id="rId149" Type="http://schemas.openxmlformats.org/officeDocument/2006/relationships/hyperlink" Target="https://travaux.obat.fr/amenagements-exterieurs/normandie" TargetMode="External"/><Relationship Id="rId150" Type="http://schemas.openxmlformats.org/officeDocument/2006/relationships/hyperlink" Target="https://www.dumouchel.fr/" TargetMode="External"/><Relationship Id="rId151" Type="http://schemas.openxmlformats.org/officeDocument/2006/relationships/hyperlink" Target="https://www.dumouchel.fr/" TargetMode="External"/><Relationship Id="rId152" Type="http://schemas.openxmlformats.org/officeDocument/2006/relationships/hyperlink" Target="https://www.vma14.com/" TargetMode="External"/><Relationship Id="rId153" Type="http://schemas.openxmlformats.org/officeDocument/2006/relationships/hyperlink" Target="https://www.pagesjaunes.fr/pros/55400375" TargetMode="External"/><Relationship Id="rId154" Type="http://schemas.openxmlformats.org/officeDocument/2006/relationships/hyperlink" Target="https://www.vincent-locquet.fr/" TargetMode="External"/><Relationship Id="rId155" Type="http://schemas.openxmlformats.org/officeDocument/2006/relationships/hyperlink" Target="https://www.vincent-locquet.fr/" TargetMode="External"/><Relationship Id="rId156" Type="http://schemas.openxmlformats.org/officeDocument/2006/relationships/hyperlink" Target="https://www.volkaert-constructions.fr/" TargetMode="External"/><Relationship Id="rId157" Type="http://schemas.openxmlformats.org/officeDocument/2006/relationships/hyperlink" Target="https://www.volkaert-constructions.fr/" TargetMode="External"/><Relationship Id="rId158" Type="http://schemas.openxmlformats.org/officeDocument/2006/relationships/hyperlink" Target="https://yl-carrelage.fr/" TargetMode="External"/><Relationship Id="rId159" Type="http://schemas.openxmlformats.org/officeDocument/2006/relationships/hyperlink" Target="https://yl-carrelage.fr/hammam/" TargetMode="External"/><Relationship Id="rId160" Type="http://schemas.openxmlformats.org/officeDocument/2006/relationships/hyperlink" Target="https://agavepaysage.fr/" TargetMode="External"/><Relationship Id="rId161" Type="http://schemas.openxmlformats.org/officeDocument/2006/relationships/hyperlink" Target="https://agavepaysage.fr/creation-de-terrasse-a-paris-architecte-paysagiste/" TargetMode="External"/><Relationship Id="rId162" Type="http://schemas.openxmlformats.org/officeDocument/2006/relationships/hyperlink" Target="https://www.118712.fr/annuaire/departement/hauts-de-seine/entreprise-paysagiste" TargetMode="External"/><Relationship Id="rId163" Type="http://schemas.openxmlformats.org/officeDocument/2006/relationships/hyperlink" Target="https://www.118712.fr/annuaire/departement/hauts-de-seine/entreprise-paysagiste" TargetMode="External"/><Relationship Id="rId164" Type="http://schemas.openxmlformats.org/officeDocument/2006/relationships/hyperlink" Target="https://www.apisflorae.com/" TargetMode="External"/><Relationship Id="rId165" Type="http://schemas.openxmlformats.org/officeDocument/2006/relationships/hyperlink" Target="https://www.houzz.fr/professionnels/paysagiste-et-architecte-paysagiste/apis-florae-pfvwfr-pf~632846081" TargetMode="External"/><Relationship Id="rId166" Type="http://schemas.openxmlformats.org/officeDocument/2006/relationships/hyperlink" Target="https://aquagarden78.fr/" TargetMode="External"/><Relationship Id="rId167" Type="http://schemas.openxmlformats.org/officeDocument/2006/relationships/hyperlink" Target="https://aquagarden78.fr/" TargetMode="External"/><Relationship Id="rId168" Type="http://schemas.openxmlformats.org/officeDocument/2006/relationships/hyperlink" Target="https://www.architea.fr/architea-vallee-de-la-seine-ouest/" TargetMode="External"/><Relationship Id="rId169" Type="http://schemas.openxmlformats.org/officeDocument/2006/relationships/hyperlink" Target="https://www.architea.fr/architea-vallee-de-la-seine-ouest/amenagement-terrasse-yvelines/" TargetMode="External"/><Relationship Id="rId170" Type="http://schemas.openxmlformats.org/officeDocument/2006/relationships/hyperlink" Target="https://www.archivim.fr/" TargetMode="External"/><Relationship Id="rId171" Type="http://schemas.openxmlformats.org/officeDocument/2006/relationships/hyperlink" Target="https://www.archivim.fr/" TargetMode="External"/><Relationship Id="rId172" Type="http://schemas.openxmlformats.org/officeDocument/2006/relationships/hyperlink" Target="https://www.artdesjardins-zory.fr/" TargetMode="External"/><Relationship Id="rId173" Type="http://schemas.openxmlformats.org/officeDocument/2006/relationships/hyperlink" Target="https://www.artdesjardins-zory.fr/dallages-et-terrasses.htm" TargetMode="External"/><Relationship Id="rId174" Type="http://schemas.openxmlformats.org/officeDocument/2006/relationships/hyperlink" Target="https://www.atelier-concept-paysage.com/" TargetMode="External"/><Relationship Id="rId175" Type="http://schemas.openxmlformats.org/officeDocument/2006/relationships/hyperlink" Target="https://www.118712.fr/fiches/X0pZWlZSHAY" TargetMode="External"/><Relationship Id="rId176" Type="http://schemas.openxmlformats.org/officeDocument/2006/relationships/hyperlink" Target="https://www.118712.fr/annuaire/region/ile-de-france/grossiste-pierres-naturelles" TargetMode="External"/><Relationship Id="rId177" Type="http://schemas.openxmlformats.org/officeDocument/2006/relationships/hyperlink" Target="https://www.baticentre.fr/" TargetMode="External"/><Relationship Id="rId178" Type="http://schemas.openxmlformats.org/officeDocument/2006/relationships/hyperlink" Target="https://www.118712.fr/professionnels/X0JRV1NQGAY" TargetMode="External"/><Relationship Id="rId179" Type="http://schemas.openxmlformats.org/officeDocument/2006/relationships/hyperlink" Target="https://www.blocstone.com/" TargetMode="External"/><Relationship Id="rId180" Type="http://schemas.openxmlformats.org/officeDocument/2006/relationships/hyperlink" Target="https://www.118712.fr/professionnels/WkdWXlNTGgU" TargetMode="External"/><Relationship Id="rId181" Type="http://schemas.openxmlformats.org/officeDocument/2006/relationships/hyperlink" Target="https://ci-renovation-78.fr/" TargetMode="External"/><Relationship Id="rId182" Type="http://schemas.openxmlformats.org/officeDocument/2006/relationships/hyperlink" Target="https://ci-renovation-78.fr/entreprise-amenagement-construction-terrasse-yvelines/" TargetMode="External"/><Relationship Id="rId183" Type="http://schemas.openxmlformats.org/officeDocument/2006/relationships/hyperlink" Target="https://www.ceramica.fr/" TargetMode="External"/><Relationship Id="rId184" Type="http://schemas.openxmlformats.org/officeDocument/2006/relationships/hyperlink" Target="https://www.houzz.fr/professionnels/pierres-et-plans-de-travail/ceramica-fusaro-pfvwfr-pf~438485630" TargetMode="External"/><Relationship Id="rId185" Type="http://schemas.openxmlformats.org/officeDocument/2006/relationships/hyperlink" Target="https://www.voyages-d-affaires.com/en/crowne-plaza-marne-la-vallee/" TargetMode="External"/><Relationship Id="rId186" Type="http://schemas.openxmlformats.org/officeDocument/2006/relationships/hyperlink" Target="https://www.dps-france.fr/" TargetMode="External"/><Relationship Id="rId187" Type="http://schemas.openxmlformats.org/officeDocument/2006/relationships/hyperlink" Target="https://www.dps-france.fr/construction-hammam/" TargetMode="External"/><Relationship Id="rId188" Type="http://schemas.openxmlformats.org/officeDocument/2006/relationships/hyperlink" Target="https://www.diffazur.fr/en/?p=26192" TargetMode="External"/><Relationship Id="rId189" Type="http://schemas.openxmlformats.org/officeDocument/2006/relationships/hyperlink" Target="https://www.118712.fr/fiches/WkZQWFVTHAc" TargetMode="External"/><Relationship Id="rId190" Type="http://schemas.openxmlformats.org/officeDocument/2006/relationships/hyperlink" Target="https://edenvatinel.fr/" TargetMode="External"/><Relationship Id="rId191" Type="http://schemas.openxmlformats.org/officeDocument/2006/relationships/hyperlink" Target="https://edenvatinel.fr/" TargetMode="External"/><Relationship Id="rId192" Type="http://schemas.openxmlformats.org/officeDocument/2006/relationships/hyperlink" Target="https://www.carrelage-marbre-iledefrance.fr/" TargetMode="External"/><Relationship Id="rId193" Type="http://schemas.openxmlformats.org/officeDocument/2006/relationships/hyperlink" Target="https://www.carrelage-marbre-iledefrance.fr/" TargetMode="External"/><Relationship Id="rId194" Type="http://schemas.openxmlformats.org/officeDocument/2006/relationships/hyperlink" Target="https://www.kenny-entreprise.fr/" TargetMode="External"/><Relationship Id="rId195" Type="http://schemas.openxmlformats.org/officeDocument/2006/relationships/hyperlink" Target="https://www.118712.fr/professionnels/X0RWWFZWGgc" TargetMode="External"/><Relationship Id="rId196" Type="http://schemas.openxmlformats.org/officeDocument/2006/relationships/hyperlink" Target="https://www.118712.fr/professionnels/X0RUWlZUHgI" TargetMode="External"/><Relationship Id="rId197" Type="http://schemas.openxmlformats.org/officeDocument/2006/relationships/hyperlink" Target="https://www.ftp-services.fr/" TargetMode="External"/><Relationship Id="rId198" Type="http://schemas.openxmlformats.org/officeDocument/2006/relationships/hyperlink" Target="https://www.ftp-services.fr/notre-expertise/hammam-sauna/" TargetMode="External"/><Relationship Id="rId199" Type="http://schemas.openxmlformats.org/officeDocument/2006/relationships/hyperlink" Target="https://www.fontainepaysage.fr/" TargetMode="External"/><Relationship Id="rId200" Type="http://schemas.openxmlformats.org/officeDocument/2006/relationships/hyperlink" Target="https://www.fontainepaysage.fr/creation-terrasse.htm" TargetMode="External"/><Relationship Id="rId201" Type="http://schemas.openxmlformats.org/officeDocument/2006/relationships/hyperlink" Target="https://www.hotelsbarriere.com/fr/enghien-les-bains/le-grand-hotel.html" TargetMode="External"/><Relationship Id="rId202" Type="http://schemas.openxmlformats.org/officeDocument/2006/relationships/hyperlink" Target="https://www.hotelsbarriere.com/fr/enghien-les-bains/le-grand-hotel.html" TargetMode="External"/><Relationship Id="rId203" Type="http://schemas.openxmlformats.org/officeDocument/2006/relationships/hyperlink" Target="https://www.idoine-piscines.com/" TargetMode="External"/><Relationship Id="rId204" Type="http://schemas.openxmlformats.org/officeDocument/2006/relationships/hyperlink" Target="https://www.idoine-piscines.com/contact/" TargetMode="External"/><Relationship Id="rId205" Type="http://schemas.openxmlformats.org/officeDocument/2006/relationships/hyperlink" Target="https://www.idealpiscine.com/" TargetMode="External"/><Relationship Id="rId206" Type="http://schemas.openxmlformats.org/officeDocument/2006/relationships/hyperlink" Target="https://www.idealpiscine.com/" TargetMode="External"/><Relationship Id="rId207" Type="http://schemas.openxmlformats.org/officeDocument/2006/relationships/hyperlink" Target="https://www.jardins-et-ambiances.com/" TargetMode="External"/><Relationship Id="rId208" Type="http://schemas.openxmlformats.org/officeDocument/2006/relationships/hyperlink" Target="https://www.jardins-et-ambiances.com/actualite-paysagiste-a-rambouillet-78120-7616.html" TargetMode="External"/><Relationship Id="rId209" Type="http://schemas.openxmlformats.org/officeDocument/2006/relationships/hyperlink" Target="https://www.118712.fr/annuaire/departement/hauts-de-seine/entreprise-paysagiste" TargetMode="External"/><Relationship Id="rId210" Type="http://schemas.openxmlformats.org/officeDocument/2006/relationships/hyperlink" Target="https://www.kristech.fr/" TargetMode="External"/><Relationship Id="rId211" Type="http://schemas.openxmlformats.org/officeDocument/2006/relationships/hyperlink" Target="https://www.kristech.fr/piscine-sur-mesure-ile-de-france/" TargetMode="External"/><Relationship Id="rId212" Type="http://schemas.openxmlformats.org/officeDocument/2006/relationships/hyperlink" Target="https://l-esprit-au-vert-71b05.houzzsite.com/" TargetMode="External"/><Relationship Id="rId213" Type="http://schemas.openxmlformats.org/officeDocument/2006/relationships/hyperlink" Target="https://www.houzz.fr/professionnels/landscape-architects-et-landscape-designers/l-esprit-au-vert-pfvwfr-pf~882382241" TargetMode="External"/><Relationship Id="rId214" Type="http://schemas.openxmlformats.org/officeDocument/2006/relationships/hyperlink" Target="https://www.la-boutique-piscine-spa.fr/" TargetMode="External"/><Relationship Id="rId215" Type="http://schemas.openxmlformats.org/officeDocument/2006/relationships/hyperlink" Target="https://www.la-boutique-piscine-spa.fr/construction-piscine-creus&#233;e" TargetMode="External"/><Relationship Id="rId216" Type="http://schemas.openxmlformats.org/officeDocument/2006/relationships/hyperlink" Target="https://www.lesjardinsdechevreuse.fr/" TargetMode="External"/><Relationship Id="rId217" Type="http://schemas.openxmlformats.org/officeDocument/2006/relationships/hyperlink" Target="https://www.lesjardinsdechevreuse.fr/paysagiste-rambouillet/" TargetMode="External"/><Relationship Id="rId218" Type="http://schemas.openxmlformats.org/officeDocument/2006/relationships/hyperlink" Target="https://www.jardinsdejulien.com/" TargetMode="External"/><Relationship Id="rId219" Type="http://schemas.openxmlformats.org/officeDocument/2006/relationships/hyperlink" Target="https://www.jardinsdejulien.com/paysagiste-yvelines-78" TargetMode="External"/><Relationship Id="rId220" Type="http://schemas.openxmlformats.org/officeDocument/2006/relationships/hyperlink" Target="https://www.jardinsdelavallee.fr/" TargetMode="External"/><Relationship Id="rId221" Type="http://schemas.openxmlformats.org/officeDocument/2006/relationships/hyperlink" Target="https://www.jardinsdelavallee.fr/paysagiste-78/realisations-de-terrasse-en-yvelines" TargetMode="External"/><Relationship Id="rId222" Type="http://schemas.openxmlformats.org/officeDocument/2006/relationships/hyperlink" Target="https://www.118712.fr/annuaire/departement/hauts-de-seine/entreprise-paysagiste" TargetMode="External"/><Relationship Id="rId223" Type="http://schemas.openxmlformats.org/officeDocument/2006/relationships/hyperlink" Target="https://www.marbreriempg.paris/" TargetMode="External"/><Relationship Id="rId224" Type="http://schemas.openxmlformats.org/officeDocument/2006/relationships/hyperlink" Target="https://www.marbreriempg.paris/projets/dallages/" TargetMode="External"/><Relationship Id="rId225" Type="http://schemas.openxmlformats.org/officeDocument/2006/relationships/hyperlink" Target="https://www.maison-laborde.fr/" TargetMode="External"/><Relationship Id="rId226" Type="http://schemas.openxmlformats.org/officeDocument/2006/relationships/hyperlink" Target="https://www.houzz.fr/professionnels/artisan-et-entreprise-generale-de-batiment/maison-laborde-pfvwfr-pf~1925091950" TargetMode="External"/><Relationship Id="rId227" Type="http://schemas.openxmlformats.org/officeDocument/2006/relationships/hyperlink" Target="https://www.maisonsarchidesign.com/" TargetMode="External"/><Relationship Id="rId228" Type="http://schemas.openxmlformats.org/officeDocument/2006/relationships/hyperlink" Target="https://www.maisonsarchidesign.com/" TargetMode="External"/><Relationship Id="rId229" Type="http://schemas.openxmlformats.org/officeDocument/2006/relationships/hyperlink" Target="https://travaux.obat.fr/marbrier/ile-de-france" TargetMode="External"/><Relationship Id="rId230" Type="http://schemas.openxmlformats.org/officeDocument/2006/relationships/hyperlink" Target="https://www.118712.fr/professionnels/X0VWW15RGwk" TargetMode="External"/><Relationship Id="rId231" Type="http://schemas.openxmlformats.org/officeDocument/2006/relationships/hyperlink" Target="https://modernworks.fr/" TargetMode="External"/><Relationship Id="rId232" Type="http://schemas.openxmlformats.org/officeDocument/2006/relationships/hyperlink" Target="https://modernworks.fr/" TargetMode="External"/><Relationship Id="rId233" Type="http://schemas.openxmlformats.org/officeDocument/2006/relationships/hyperlink" Target="https://www.penseeaujardin.fr/" TargetMode="External"/><Relationship Id="rId234" Type="http://schemas.openxmlformats.org/officeDocument/2006/relationships/hyperlink" Target="https://www.penseeaujardin.fr/" TargetMode="External"/><Relationship Id="rId235" Type="http://schemas.openxmlformats.org/officeDocument/2006/relationships/hyperlink" Target="https://www.piscines-spas-iledefrance.fr/" TargetMode="External"/><Relationship Id="rId236" Type="http://schemas.openxmlformats.org/officeDocument/2006/relationships/hyperlink" Target="https://www.piscines-spas-iledefrance.fr/terrasse-et-plage" TargetMode="External"/><Relationship Id="rId237" Type="http://schemas.openxmlformats.org/officeDocument/2006/relationships/hyperlink" Target="https://planstone.fr/" TargetMode="External"/><Relationship Id="rId238" Type="http://schemas.openxmlformats.org/officeDocument/2006/relationships/hyperlink" Target="https://planstone.fr/" TargetMode="External"/><Relationship Id="rId239" Type="http://schemas.openxmlformats.org/officeDocument/2006/relationships/hyperlink" Target="https://www.marbrerie.com/" TargetMode="External"/><Relationship Id="rId240" Type="http://schemas.openxmlformats.org/officeDocument/2006/relationships/hyperlink" Target="https://www.marbrerie.com/" TargetMode="External"/><Relationship Id="rId241" Type="http://schemas.openxmlformats.org/officeDocument/2006/relationships/hyperlink" Target="https://www.118712.fr/professionnels/X0pXXlVUGQI" TargetMode="External"/><Relationship Id="rId242" Type="http://schemas.openxmlformats.org/officeDocument/2006/relationships/hyperlink" Target="https://www.socorebat-95.fr/" TargetMode="External"/><Relationship Id="rId243" Type="http://schemas.openxmlformats.org/officeDocument/2006/relationships/hyperlink" Target="https://www.socorebat-95.fr/Creation-Piscine-Beton-situe-Val-d-Oise/" TargetMode="External"/><Relationship Id="rId244" Type="http://schemas.openxmlformats.org/officeDocument/2006/relationships/hyperlink" Target="https://www.pagesjaunes.fr/annuaire/departement/yvelines-78/vente-de-carrelages-dallages" TargetMode="External"/><Relationship Id="rId245" Type="http://schemas.openxmlformats.org/officeDocument/2006/relationships/hyperlink" Target="https://terrasseetjardindeparis.com/" TargetMode="External"/><Relationship Id="rId246" Type="http://schemas.openxmlformats.org/officeDocument/2006/relationships/hyperlink" Target="https://terrasseetjardindeparis.com/paysagiste/toit-terrasse/" TargetMode="External"/><Relationship Id="rId247" Type="http://schemas.openxmlformats.org/officeDocument/2006/relationships/hyperlink" Target="https://www.triomphe-home.fr/" TargetMode="External"/><Relationship Id="rId248" Type="http://schemas.openxmlformats.org/officeDocument/2006/relationships/hyperlink" Target="https://www.118712.fr/professionnels/WktRV1NWHgA" TargetMode="External"/><Relationship Id="rId249" Type="http://schemas.openxmlformats.org/officeDocument/2006/relationships/hyperlink" Target="https://www.118712.fr/annuaire/departement/hauts-de-seine/entreprise-paysagiste" TargetMode="External"/><Relationship Id="rId250" Type="http://schemas.openxmlformats.org/officeDocument/2006/relationships/hyperlink" Target="https://www.118712.fr/annuaire/departement/hauts-de-seine/entreprise-paysagiste" TargetMode="External"/><Relationship Id="rId251" Type="http://schemas.openxmlformats.org/officeDocument/2006/relationships/hyperlink" Target="https://www.wildrenovation.fr/" TargetMode="External"/><Relationship Id="rId252" Type="http://schemas.openxmlformats.org/officeDocument/2006/relationships/hyperlink" Target="https://www.wildrenovation.fr/marbrier-paris" TargetMode="External"/><Relationship Id="rId253" Type="http://schemas.openxmlformats.org/officeDocument/2006/relationships/hyperlink" Target="https://www.yvelinestradition.fr/" TargetMode="External"/><Relationship Id="rId254" Type="http://schemas.openxmlformats.org/officeDocument/2006/relationships/hyperlink" Target="https://www.houzz.fr/professionnels/constructeur-de-maison-et-promoteur/yvelines-tradition-pfvwfr-pf~1386850034" TargetMode="External"/><Relationship Id="rId255" Type="http://schemas.openxmlformats.org/officeDocument/2006/relationships/hyperlink" Target="https://mmnk.fr/" TargetMode="External"/><Relationship Id="rId256" Type="http://schemas.openxmlformats.org/officeDocument/2006/relationships/hyperlink" Target="https://www.tendancehotellerie.fr/articles-breves/communique-de-presse/12442-article/transformation-de-deux-longeres-en-l-hotel-villa-gypsy-a-deauville" TargetMode="External"/><Relationship Id="rId257" Type="http://schemas.openxmlformats.org/officeDocument/2006/relationships/hyperlink" Target="https://www.act-mo.fr/" TargetMode="External"/><Relationship Id="rId258" Type="http://schemas.openxmlformats.org/officeDocument/2006/relationships/hyperlink" Target="https://www.houzz.fr/professionnels/architecte-d-interieur/act-creation-pfvwfr-pf~347062397" TargetMode="External"/><Relationship Id="rId259" Type="http://schemas.openxmlformats.org/officeDocument/2006/relationships/hyperlink" Target="https://www.houzz.fr/professionnels/artisan-et-entreprise-generale-de-batiment/alliance-2-pfvwfr-pf~1639266739" TargetMode="External"/><Relationship Id="rId260" Type="http://schemas.openxmlformats.org/officeDocument/2006/relationships/hyperlink" Target="https://www.pagesjaunes.fr/annuaire/region/normandie/fabrication-installation-de-saunas-hammams-spas?page=2" TargetMode="External"/><Relationship Id="rId261" Type="http://schemas.openxmlformats.org/officeDocument/2006/relationships/hyperlink" Target="https://www.118712.fr/annuaire/ville/le-havre-76/entreprise-paysagiste" TargetMode="External"/><Relationship Id="rId262" Type="http://schemas.openxmlformats.org/officeDocument/2006/relationships/hyperlink" Target="https://www.ec3s.fr/" TargetMode="External"/><Relationship Id="rId263" Type="http://schemas.openxmlformats.org/officeDocument/2006/relationships/hyperlink" Target="https://www.houzz.fr/hznb/professionnels/constructeur-de-maison-et-promoteur/ec3s-pfvwfr-pf~2117411960" TargetMode="External"/><Relationship Id="rId264" Type="http://schemas.openxmlformats.org/officeDocument/2006/relationships/hyperlink" Target="https://www.118712.fr/annuaire/ville/lisieux-14/entreprise-paysagiste" TargetMode="External"/><Relationship Id="rId265" Type="http://schemas.openxmlformats.org/officeDocument/2006/relationships/hyperlink" Target="https://www.gueudry.fr/" TargetMode="External"/><Relationship Id="rId266" Type="http://schemas.openxmlformats.org/officeDocument/2006/relationships/hyperlink" Target="https://www.gueudry.fr/constructeur-maison-eure/" TargetMode="External"/><Relationship Id="rId267" Type="http://schemas.openxmlformats.org/officeDocument/2006/relationships/hyperlink" Target="https://laurencevermontdecoration.fr/" TargetMode="External"/><Relationship Id="rId268" Type="http://schemas.openxmlformats.org/officeDocument/2006/relationships/hyperlink" Target="https://www.houzz.fr/professionnels/architecte-d-interieur/laurence-vermont-architecture-d-interieur-pfvwfr-pf~943474491" TargetMode="External"/><Relationship Id="rId269" Type="http://schemas.openxmlformats.org/officeDocument/2006/relationships/hyperlink" Target="https://masolution-habitat.fr/" TargetMode="External"/><Relationship Id="rId270" Type="http://schemas.openxmlformats.org/officeDocument/2006/relationships/hyperlink" Target="https://masolution-habitat.fr/amenagement-de-lhabitat/espace-bien-etre/" TargetMode="External"/><Relationship Id="rId271" Type="http://schemas.openxmlformats.org/officeDocument/2006/relationships/hyperlink" Target="https://www.piscines-magiline.fr/pisciniste-magasin-piscines/fr-normandie-eure-distributeur-piscines-magiline-ste-colombe-la-commanderie/" TargetMode="External"/><Relationship Id="rId272" Type="http://schemas.openxmlformats.org/officeDocument/2006/relationships/hyperlink" Target="https://www.socoren.com/" TargetMode="External"/><Relationship Id="rId273" Type="http://schemas.openxmlformats.org/officeDocument/2006/relationships/hyperlink" Target="https://www.socoren.com/constructeur-maisons-normandie/calvados/deauville" TargetMode="External"/><Relationship Id="rId274" Type="http://schemas.openxmlformats.org/officeDocument/2006/relationships/hyperlink" Target="https://www.118712.fr/annuaire/departement/calvados/agencement-magasin" TargetMode="External"/><Relationship Id="rId275" Type="http://schemas.openxmlformats.org/officeDocument/2006/relationships/hyperlink" Target="https://www.118000.fr/e_C0068560434" TargetMode="External"/><Relationship Id="rId276" Type="http://schemas.openxmlformats.org/officeDocument/2006/relationships/hyperlink" Target="https://rouen.mondial-piscine.eu/" TargetMode="External"/><Relationship Id="rId277" Type="http://schemas.openxmlformats.org/officeDocument/2006/relationships/hyperlink" Target="https://www.mondial-piscine.eu/trouver-un-concessionnaire/normandie-fr/seine-et-mer-piscines-rouen/" TargetMode="External"/><Relationship Id="rId278" Type="http://schemas.openxmlformats.org/officeDocument/2006/relationships/hyperlink" Target="https://abdecoration.fr/" TargetMode="External"/><Relationship Id="rId279" Type="http://schemas.openxmlformats.org/officeDocument/2006/relationships/hyperlink" Target="https://www.houzz.fr/professionnels/architecte-d-interieur/ab-decoration-pfvwfr-pf~1864789124" TargetMode="External"/><Relationship Id="rId280" Type="http://schemas.openxmlformats.org/officeDocument/2006/relationships/hyperlink" Target="https://www.houzz.fr/professionnels/architecte-d-interieur/studio-elc-design-pfvwfr-pf~1386316822" TargetMode="External"/><Relationship Id="rId281" Type="http://schemas.openxmlformats.org/officeDocument/2006/relationships/hyperlink" Target="https://tribehotels.com/en/france/cabourg/" TargetMode="External"/><Relationship Id="rId282" Type="http://schemas.openxmlformats.org/officeDocument/2006/relationships/hyperlink" Target="https://tribehotels.com/en/france/cabourg/" TargetMode="External"/><Relationship Id="rId283" Type="http://schemas.openxmlformats.org/officeDocument/2006/relationships/hyperlink" Target="https://terralia-immobilier.fr/" TargetMode="External"/><Relationship Id="rId284" Type="http://schemas.openxmlformats.org/officeDocument/2006/relationships/hyperlink" Target="https://terralia-immobilier.fr/promotion-immobiliere-a-deauville-la-vision-terralia-pour-construire-autrement/" TargetMode="External"/><Relationship Id="rId285" Type="http://schemas.openxmlformats.org/officeDocument/2006/relationships/hyperlink" Target="https://travaux.obat.fr/amenagements-exterieurs/normandie" TargetMode="External"/><Relationship Id="rId286" Type="http://schemas.openxmlformats.org/officeDocument/2006/relationships/hyperlink" Target="https://ynspir.com/" TargetMode="External"/><Relationship Id="rId287" Type="http://schemas.openxmlformats.org/officeDocument/2006/relationships/hyperlink" Target="https://ynspir.com/normandie/calvados/architecte-interieur-caen/" TargetMode="External"/><Relationship Id="rId288" Type="http://schemas.openxmlformats.org/officeDocument/2006/relationships/hyperlink" Target="https://www.eric-devaux.fr/" TargetMode="External"/><Relationship Id="rId289" Type="http://schemas.openxmlformats.org/officeDocument/2006/relationships/hyperlink" Target="https://www.eric-devaux.fr/piliers-de-portails-murets/pavage-sur-mesure-pierre-naturelle/" TargetMode="External"/><Relationship Id="rId290" Type="http://schemas.openxmlformats.org/officeDocument/2006/relationships/hyperlink" Target="https://www.118712.fr/annuaire/ville/colombes-92/entreprise-paysagiste" TargetMode="External"/><Relationship Id="rId291" Type="http://schemas.openxmlformats.org/officeDocument/2006/relationships/hyperlink" Target="https://www.antunesjardinage.fr/" TargetMode="External"/><Relationship Id="rId292" Type="http://schemas.openxmlformats.org/officeDocument/2006/relationships/hyperlink" Target="https://www.antunesjardinage.fr/paysagiste-rambouillet/" TargetMode="External"/><Relationship Id="rId293" Type="http://schemas.openxmlformats.org/officeDocument/2006/relationships/hyperlink" Target="https://www.aqua-system.fr/" TargetMode="External"/><Relationship Id="rId294" Type="http://schemas.openxmlformats.org/officeDocument/2006/relationships/hyperlink" Target="https://www.esprit-piscine.fr/aqua-system/" TargetMode="External"/><Relationship Id="rId295" Type="http://schemas.openxmlformats.org/officeDocument/2006/relationships/hyperlink" Target="https://www.pagesjaunes.fr/pros/55939098" TargetMode="External"/><Relationship Id="rId296" Type="http://schemas.openxmlformats.org/officeDocument/2006/relationships/hyperlink" Target="https://www.atelierceben.com/" TargetMode="External"/><Relationship Id="rId297" Type="http://schemas.openxmlformats.org/officeDocument/2006/relationships/hyperlink" Target="https://www.houzz.fr/professionnels/architecte-d-interieur/atelier-ceben-pfvwfr-pf~94433125" TargetMode="External"/><Relationship Id="rId298" Type="http://schemas.openxmlformats.org/officeDocument/2006/relationships/hyperlink" Target="https://travaux.obat.fr/pose-carrelage-dallage-exterieur/hauts-de-seine" TargetMode="External"/><Relationship Id="rId299" Type="http://schemas.openxmlformats.org/officeDocument/2006/relationships/hyperlink" Target="https://balcoon.fr/" TargetMode="External"/><Relationship Id="rId300" Type="http://schemas.openxmlformats.org/officeDocument/2006/relationships/hyperlink" Target="https://balcoon.fr/" TargetMode="External"/><Relationship Id="rId301" Type="http://schemas.openxmlformats.org/officeDocument/2006/relationships/hyperlink" Target="https://www.belmard-batiment.fr/" TargetMode="External"/><Relationship Id="rId302" Type="http://schemas.openxmlformats.org/officeDocument/2006/relationships/hyperlink" Target="https://www.belmard-batiment.fr/" TargetMode="External"/><Relationship Id="rId303" Type="http://schemas.openxmlformats.org/officeDocument/2006/relationships/hyperlink" Target="https://www.benebatti.fr/" TargetMode="External"/><Relationship Id="rId304" Type="http://schemas.openxmlformats.org/officeDocument/2006/relationships/hyperlink" Target="https://www.benebatti.fr/services/gros-oeuvre/extension-maison" TargetMode="External"/><Relationship Id="rId305" Type="http://schemas.openxmlformats.org/officeDocument/2006/relationships/hyperlink" Target="https://www.tendancehotellerie.fr/articles-breves/communique-de-presse/18305-article/d-b-interior-design-studio-devoile-son-dernier-projet-l-hotel-antares-a-honfleur" TargetMode="External"/><Relationship Id="rId306" Type="http://schemas.openxmlformats.org/officeDocument/2006/relationships/hyperlink" Target="https://duhamel-paysagiste.fr/" TargetMode="External"/><Relationship Id="rId307" Type="http://schemas.openxmlformats.org/officeDocument/2006/relationships/hyperlink" Target="https://duhamel-paysagiste.fr/maconnerie-paysagere-en-77-terrasses-murets-et-allees/" TargetMode="External"/><Relationship Id="rId308" Type="http://schemas.openxmlformats.org/officeDocument/2006/relationships/hyperlink" Target="https://www.francemaisons-idf.com/" TargetMode="External"/><Relationship Id="rId309" Type="http://schemas.openxmlformats.org/officeDocument/2006/relationships/hyperlink" Target="https://www.francemaisons-idf.com/" TargetMode="External"/><Relationship Id="rId310" Type="http://schemas.openxmlformats.org/officeDocument/2006/relationships/hyperlink" Target="https://www.franpierre-herblay.fr/" TargetMode="External"/><Relationship Id="rId311" Type="http://schemas.openxmlformats.org/officeDocument/2006/relationships/hyperlink" Target="https://www.franpierre-herblay.fr/" TargetMode="External"/><Relationship Id="rId312" Type="http://schemas.openxmlformats.org/officeDocument/2006/relationships/hyperlink" Target="https://www.henocquepiscines.fr/" TargetMode="External"/><Relationship Id="rId313" Type="http://schemas.openxmlformats.org/officeDocument/2006/relationships/hyperlink" Target="https://www.henocquepiscines.fr/" TargetMode="External"/><Relationship Id="rId314" Type="http://schemas.openxmlformats.org/officeDocument/2006/relationships/hyperlink" Target="https://www.jardinsdelorangerie.com/jardins-orangerie-montmorency" TargetMode="External"/><Relationship Id="rId315" Type="http://schemas.openxmlformats.org/officeDocument/2006/relationships/hyperlink" Target="https://www.118712.fr/professionnels/X0JQV1FSGAA" TargetMode="External"/><Relationship Id="rId316" Type="http://schemas.openxmlformats.org/officeDocument/2006/relationships/hyperlink" Target="https://www.118712.fr/annuaire/ville/le-chesnay-78/entreprise-paysagiste" TargetMode="External"/><Relationship Id="rId317" Type="http://schemas.openxmlformats.org/officeDocument/2006/relationships/hyperlink" Target="https://www.mersi-architecture.com/" TargetMode="External"/><Relationship Id="rId318" Type="http://schemas.openxmlformats.org/officeDocument/2006/relationships/hyperlink" Target="https://www.mersi-architecture.com/" TargetMode="External"/><Relationship Id="rId319" Type="http://schemas.openxmlformats.org/officeDocument/2006/relationships/hyperlink" Target="https://www.serge-gautier.com/" TargetMode="External"/><Relationship Id="rId320" Type="http://schemas.openxmlformats.org/officeDocument/2006/relationships/hyperlink" Target="https://www.serge-gautier.com/" TargetMode="External"/><Relationship Id="rId321" Type="http://schemas.openxmlformats.org/officeDocument/2006/relationships/hyperlink" Target="https://www.marbreriedevitry.fr/" TargetMode="External"/><Relationship Id="rId322" Type="http://schemas.openxmlformats.org/officeDocument/2006/relationships/hyperlink" Target="https://www.118712.fr/professionnels/X0JRV15RHwQ" TargetMode="External"/><Relationship Id="rId323" Type="http://schemas.openxmlformats.org/officeDocument/2006/relationships/hyperlink" Target="https://www.naturo-paysages.fr/" TargetMode="External"/><Relationship Id="rId324" Type="http://schemas.openxmlformats.org/officeDocument/2006/relationships/hyperlink" Target="https://www.naturo-paysages.fr/creation-de-terrasse-rambouillet.html" TargetMode="External"/><Relationship Id="rId325" Type="http://schemas.openxmlformats.org/officeDocument/2006/relationships/hyperlink" Target="https://www.oceapiscine.fr/" TargetMode="External"/><Relationship Id="rId326" Type="http://schemas.openxmlformats.org/officeDocument/2006/relationships/hyperlink" Target="https://www.oceapiscine.fr/" TargetMode="External"/><Relationship Id="rId327" Type="http://schemas.openxmlformats.org/officeDocument/2006/relationships/hyperlink" Target="https://www.118712.fr/annuaire/departement/essonne/grossiste-pierres-naturelles" TargetMode="External"/><Relationship Id="rId328" Type="http://schemas.openxmlformats.org/officeDocument/2006/relationships/hyperlink" Target="https://www.ops-ouestpiscines.fr/" TargetMode="External"/><Relationship Id="rId329" Type="http://schemas.openxmlformats.org/officeDocument/2006/relationships/hyperlink" Target="https://www.ops-ouestpiscines.fr/" TargetMode="External"/><Relationship Id="rId330" Type="http://schemas.openxmlformats.org/officeDocument/2006/relationships/hyperlink" Target="https://www.paysagiste-pro-vert.fr/" TargetMode="External"/><Relationship Id="rId331" Type="http://schemas.openxmlformats.org/officeDocument/2006/relationships/hyperlink" Target="https://www.paysagiste-pro-vert.fr/amenagement-paysager/" TargetMode="External"/><Relationship Id="rId332" Type="http://schemas.openxmlformats.org/officeDocument/2006/relationships/hyperlink" Target="https://real-marbre.com/" TargetMode="External"/><Relationship Id="rId333" Type="http://schemas.openxmlformats.org/officeDocument/2006/relationships/hyperlink" Target="https://real-marbre.com/" TargetMode="External"/><Relationship Id="rId334" Type="http://schemas.openxmlformats.org/officeDocument/2006/relationships/hyperlink" Target="https://www.118712.fr/annuaire/ville/croissy-sur-seine-78/entreprise-paysagiste" TargetMode="External"/><Relationship Id="rId335" Type="http://schemas.openxmlformats.org/officeDocument/2006/relationships/hyperlink" Target="https://www.118712.fr/fiches/WUBVWVNRHwg" TargetMode="External"/><Relationship Id="rId336" Type="http://schemas.openxmlformats.org/officeDocument/2006/relationships/hyperlink" Target="https://www.simonsonlandscape.com/" TargetMode="External"/><Relationship Id="rId337" Type="http://schemas.openxmlformats.org/officeDocument/2006/relationships/hyperlink" Target="https://www.houzz.fr/professionnels/paysagiste-et-architecte-paysagiste/simonson-landscape-concepteur-paysagiste-pfvwfr-pf~1923588718" TargetMode="External"/><Relationship Id="rId338" Type="http://schemas.openxmlformats.org/officeDocument/2006/relationships/hyperlink" Target="https://www.118712.fr/annuaire/ville/croissy-sur-seine-78/entreprise-paysagiste" TargetMode="External"/><Relationship Id="rId339" Type="http://schemas.openxmlformats.org/officeDocument/2006/relationships/hyperlink" Target="https://www.terrassesdesoliviers.com/" TargetMode="External"/><Relationship Id="rId340" Type="http://schemas.openxmlformats.org/officeDocument/2006/relationships/hyperlink" Target="https://www.terrassesdesoliviers.com/paysagiste-yvelines-amenagement-exterieur-de-qualite/" TargetMode="External"/><Relationship Id="rId341" Type="http://schemas.openxmlformats.org/officeDocument/2006/relationships/hyperlink" Target="https://www.stoneadd.com/Ataija-Creme-Limestone-Inquiry-PMR2026081701.htm" TargetMode="External"/><Relationship Id="rId342" Type="http://schemas.openxmlformats.org/officeDocument/2006/relationships/hyperlink" Target="https://www.stonecontact.com/products-12697/beaumaniere-limestone-slabs-tiles-france-beige-limestone" TargetMode="External"/><Relationship Id="rId343" Type="http://schemas.openxmlformats.org/officeDocument/2006/relationships/hyperlink" Target="https://www.stoneadd.com/Buy-Sunny-Marble-PMR2026051904.htm" TargetMode="External"/><Relationship Id="rId344" Type="http://schemas.openxmlformats.org/officeDocument/2006/relationships/hyperlink" Target="https://sourcing.alibaba.com/rfq_detail.htm?p=ID1GWxBTMS7v07rK-wOngWs9TE1kAhYg0bqpm4UmA9J6s1_qYPv2acIKUsbMY9mNZ8L&amp;language=de_DE" TargetMode="External"/><Relationship Id="rId345" Type="http://schemas.openxmlformats.org/officeDocument/2006/relationships/hyperlink" Target="https://www.stonecontact.com/products-300185/sinai-pearl-grey-limestone-slabs-tiles" TargetMode="External"/><Relationship Id="rId346" Type="http://schemas.openxmlformats.org/officeDocument/2006/relationships/hyperlink" Target="https://www.stonecontact.com/products-68547/beige-limestone-floor-tiles" TargetMode="External"/><Relationship Id="rId347" Type="http://schemas.openxmlformats.org/officeDocument/2006/relationships/hyperlink" Target="https://www.stoneadd.com/Beige-Travertine-KARAMAN-Inquiry-PMR2026032702.htm" TargetMode="External"/><Relationship Id="rId348" Type="http://schemas.openxmlformats.org/officeDocument/2006/relationships/hyperlink" Target="https://www.stoneadd.com/Buy-Crema-Marfil-tiles-305x305x1cm-Standard-Range-PMR2026041803.htm" TargetMode="External"/><Relationship Id="rId349" Type="http://schemas.openxmlformats.org/officeDocument/2006/relationships/hyperlink" Target="https://www.stoneadd.com/Buy-Moscato-Beige-Marble-PMR2026091204.htm" TargetMode="External"/><Relationship Id="rId350" Type="http://schemas.openxmlformats.org/officeDocument/2006/relationships/hyperlink" Target="https://www.stoneadd.com/Buy-Sinai-Pearl-Limestone-Stairs-and-Steps-PMR2026090902.htm" TargetMode="External"/><Relationship Id="rId351" Type="http://schemas.openxmlformats.org/officeDocument/2006/relationships/hyperlink" Target="https://www.stoneadd.com/Buy-THALA-BEIGE-Marbles-PMR2026082903.htm" TargetMode="External"/><Relationship Id="rId352" Type="http://schemas.openxmlformats.org/officeDocument/2006/relationships/hyperlink" Target="https://www.stoneadd.com/Buy-Turkey-Ivory-Travertine-Slab-PMR2026060501.htm" TargetMode="External"/><Relationship Id="rId353" Type="http://schemas.openxmlformats.org/officeDocument/2006/relationships/hyperlink" Target="https://www.stonecontact.com/buyers/from-france" TargetMode="External"/><Relationship Id="rId354" Type="http://schemas.openxmlformats.org/officeDocument/2006/relationships/hyperlink" Target="https://www.stonecontact.com/buyers/from-france" TargetMode="External"/><Relationship Id="rId355" Type="http://schemas.openxmlformats.org/officeDocument/2006/relationships/hyperlink" Target="https://www.stonecontact.com/buyers/from-ireland" TargetMode="External"/><Relationship Id="rId356" Type="http://schemas.openxmlformats.org/officeDocument/2006/relationships/hyperlink" Target="https://www.stonecontact.com/buyers/from-united-kingdom" TargetMode="External"/><Relationship Id="rId357" Type="http://schemas.openxmlformats.org/officeDocument/2006/relationships/hyperlink" Target="https://www.stonecontact.com/products-333197/dijon-limestone-honed-finish-floor-tiles" TargetMode="External"/><Relationship Id="rId358" Type="http://schemas.openxmlformats.org/officeDocument/2006/relationships/hyperlink" Target="https://www.stonecontact.com/products-198958/galala-beige" TargetMode="External"/><Relationship Id="rId359" Type="http://schemas.openxmlformats.org/officeDocument/2006/relationships/hyperlink" Target="https://www.stonecontact.com/quarries-880/galala-extra-galala-marble-quarry" TargetMode="External"/><Relationship Id="rId360" Type="http://schemas.openxmlformats.org/officeDocument/2006/relationships/hyperlink" Target="https://wap.stonecontact.com/buyers" TargetMode="External"/><Relationship Id="rId361" Type="http://schemas.openxmlformats.org/officeDocument/2006/relationships/hyperlink" Target="https://www.stoneadd.com/Marble-Slabs-Inquiry-PMR2026071504.htm" TargetMode="External"/><Relationship Id="rId362" Type="http://schemas.openxmlformats.org/officeDocument/2006/relationships/hyperlink" Target="https://www.stonecontact.com/sinai-pearl-limestone/s11040" TargetMode="External"/><Relationship Id="rId363" Type="http://schemas.openxmlformats.org/officeDocument/2006/relationships/hyperlink" Target="https://www.stonecontact.com/products-518617/sinai-pearl-limestone-tumbled-limestone-egyptian-limestone-supplier" TargetMode="External"/><Relationship Id="rId364" Type="http://schemas.openxmlformats.org/officeDocument/2006/relationships/hyperlink" Target="https://www.stonecontact.com/products-350300/sinai-pearl-limestone-tiles-slabs" TargetMode="External"/><Relationship Id="rId365" Type="http://schemas.openxmlformats.org/officeDocument/2006/relationships/hyperlink" Target="https://www.stonecontact.com/products-623866/sunny-menia-marble-slabs" TargetMode="External"/><Relationship Id="rId366" Type="http://schemas.openxmlformats.org/officeDocument/2006/relationships/hyperlink" Target="https://www.go4worldbusiness.com/buylead/view/1310070/wanted-:-marble.html" TargetMode="External"/><Relationship Id="rId367" Type="http://schemas.openxmlformats.org/officeDocument/2006/relationships/hyperlink" Target="https://www.go4worldbusiness.com/buylead/view/1307345/wanted-:-natural-stones-like-sandstone-limestone.html" TargetMode="External"/><Relationship Id="rId368" Type="http://schemas.openxmlformats.org/officeDocument/2006/relationships/hyperlink" Target="https://www.go4worldbusiness.com/buylead/view/1326481/wanted-:-stone-articles-like-marble-granite-limestone.html" TargetMode="External"/><Relationship Id="rId369" Type="http://schemas.openxmlformats.org/officeDocument/2006/relationships/hyperlink" Target="https://www.stonecontact.com/products-451263/westhill-limestone-honed-tiles" TargetMode="External"/><Relationship Id="rId370" Type="http://schemas.openxmlformats.org/officeDocument/2006/relationships/hyperlink" Target="https://www.stoneadd.com/Bulk-Inquiry---11000-M2-Beige-Marble-Slabs-60x120cmx2cm-EXW-Factory-PMR2026083105.htm" TargetMode="External"/><Relationship Id="rId371" Type="http://schemas.openxmlformats.org/officeDocument/2006/relationships/hyperlink" Target="https://www.stonecontact.com/buyers/from-france" TargetMode="External"/><Relationship Id="rId372" Type="http://schemas.openxmlformats.org/officeDocument/2006/relationships/hyperlink" Target="https://www.stonecontact.com/buyers/from-germany" TargetMode="External"/><Relationship Id="rId373" Type="http://schemas.openxmlformats.org/officeDocument/2006/relationships/hyperlink" Target="https://www.stonecontact.com/buyers/from-italy" TargetMode="External"/><Relationship Id="rId374" Type="http://schemas.openxmlformats.org/officeDocument/2006/relationships/hyperlink" Target="https://www.stonecontact.com/buyers/from-kuwait" TargetMode="External"/><Relationship Id="rId375" Type="http://schemas.openxmlformats.org/officeDocument/2006/relationships/hyperlink" Target="https://www.stonecontact.com/buyers/from-kuwait/3" TargetMode="External"/><Relationship Id="rId376" Type="http://schemas.openxmlformats.org/officeDocument/2006/relationships/hyperlink" Target="https://www.stonecontact.com/buyers/from-portugal" TargetMode="External"/><Relationship Id="rId377" Type="http://schemas.openxmlformats.org/officeDocument/2006/relationships/hyperlink" Target="https://wap.stonecontact.com/buyers/from-saudi-arabia" TargetMode="External"/><Relationship Id="rId378" Type="http://schemas.openxmlformats.org/officeDocument/2006/relationships/hyperlink" Target="https://www.stonecontact.com/buyers/from-united-states" TargetMode="External"/><Relationship Id="rId379" Type="http://schemas.openxmlformats.org/officeDocument/2006/relationships/hyperlink" Target="https://importer.tradekey.com/buyoffer/DEMANDE-PRIX-3631979.html" TargetMode="External"/><Relationship Id="rId380" Type="http://schemas.openxmlformats.org/officeDocument/2006/relationships/hyperlink" Target="https://sourcing.alibaba.com/rfq_detail.htm?p=ID1mx2QEP0mBJKIJ5WuzNS2lhhPeQ2Z7g7oBteXdq0V_zE01e3ObSdI1cHgsADRkl0Z" TargetMode="External"/><Relationship Id="rId381" Type="http://schemas.openxmlformats.org/officeDocument/2006/relationships/hyperlink" Target="https://importer.tradekey.com/buyoffer/Floor-Tiles-3751287.html" TargetMode="External"/><Relationship Id="rId382" Type="http://schemas.openxmlformats.org/officeDocument/2006/relationships/hyperlink" Target="https://wap.stonecontact.com/buyers/3" TargetMode="External"/><Relationship Id="rId383" Type="http://schemas.openxmlformats.org/officeDocument/2006/relationships/hyperlink" Target="https://www.stonecontact.com/buyers/natural-stone-category/from-qatar" TargetMode="External"/><Relationship Id="rId384" Type="http://schemas.openxmlformats.org/officeDocument/2006/relationships/hyperlink" Target="https://www.stoneadd.com/Request-sample-for-Limestone-Beige-Split-Face-PMR2026060805.htm" TargetMode="External"/><Relationship Id="rId385" Type="http://schemas.openxmlformats.org/officeDocument/2006/relationships/hyperlink" Target="https://www.stonecontact.com/products-37090/riyadh-limestone-tile" TargetMode="External"/><Relationship Id="rId386" Type="http://schemas.openxmlformats.org/officeDocument/2006/relationships/hyperlink" Target="https://www.stoneadd.com/Sunny-Beige-Marble-Tiles-Quotation-PMR2026050607.htm" TargetMode="External"/><Relationship Id="rId387" Type="http://schemas.openxmlformats.org/officeDocument/2006/relationships/hyperlink" Target="https://www.stonecontact.com/sunny-menia-marble/s16102" TargetMode="External"/><Relationship Id="rId388" Type="http://schemas.openxmlformats.org/officeDocument/2006/relationships/hyperlink" Target="https://www.go4worldbusiness.com/buylead/view/1321371/wanted-:-natural-stone-like-sandstone-limestone-natural-stones.html" TargetMode="External"/><Relationship Id="rId389" Type="http://schemas.openxmlformats.org/officeDocument/2006/relationships/hyperlink" Target="https://www.go4worldbusiness.com/buylead/view/1312297/wanted-:-natural-stones-like-sawn-and-tumbled-finish.html" TargetMode="External"/><Relationship Id="rId390" Type="http://schemas.openxmlformats.org/officeDocument/2006/relationships/hyperlink" Target="https://sourcing.alibaba.com/rfq_detail.htm?p=ID1adABLvEzsu6o4yd1AV2rLw-7yC-OBCuvjVUvrzKTXMlayqTHDf4MuMD6ULpWMfAM" TargetMode="External"/><Relationship Id="rId391" Type="http://schemas.openxmlformats.org/officeDocument/2006/relationships/hyperlink" Target="https://www.stonecontact.com/buyers/from-bahrain" TargetMode="External"/><Relationship Id="rId392" Type="http://schemas.openxmlformats.org/officeDocument/2006/relationships/hyperlink" Target="https://sourcing.alibaba.com/rfq_detail.htm?p=ID1pJdsiCA2tpueeEgzCFSeUy9Qxd5V4yw0QihC40BD3E3YwY2ZOklTKwOSMLKKJ8w0" TargetMode="External"/><Relationship Id="rId393"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Relationship Id="rId25" Type="http://schemas.openxmlformats.org/officeDocument/2006/relationships/hyperlink" Target="https://leopro.fr/salon-maison-jardin-le-havre/" TargetMode="External"/><Relationship Id="rId26" Type="http://schemas.openxmlformats.org/officeDocument/2006/relationships/hyperlink" Target="https://leopro.fr/salon-maison-lisieux/" TargetMode="External"/><Relationship Id="rId27" Type="http://schemas.openxmlformats.org/officeDocument/2006/relationships/hyperlink" Target="https://leopro.fr/salon-habitat-dreux/" TargetMode="External"/><Relationship Id="rId28" Type="http://schemas.openxmlformats.org/officeDocument/2006/relationships/hyperlink" Target="https://www.salon-vivreautrement.com/exposer/" TargetMode="External"/><Relationship Id="rId29" Type="http://schemas.openxmlformats.org/officeDocument/2006/relationships/hyperlink" Target="https://www.chateaudesaintjeandebeauregard.com/" TargetMode="External"/><Relationship Id="rId30" Type="http://schemas.openxmlformats.org/officeDocument/2006/relationships/hyperlink" Target="https://www.ville-gennevilliers.fr/94/cadre-de-vie/economie-et-commerces/annuaire-des-entreprises.htm" TargetMode="External"/><Relationship Id="rId31" Type="http://schemas.openxmlformats.org/officeDocument/2006/relationships/hyperlink" Target="https://business.apple.com/" TargetMode="External"/><Relationship Id="rId32" Type="http://schemas.openxmlformats.org/officeDocument/2006/relationships/hyperlink" Target="https://www.guide-piscine.fr/pro/offres/offres-publicitaires.html" TargetMode="External"/><Relationship Id="rId33" Type="http://schemas.openxmlformats.org/officeDocument/2006/relationships/hyperlink" Target="https://www.allovoisins.com/pros" TargetMode="External"/><Relationship Id="rId34" Type="http://schemas.openxmlformats.org/officeDocument/2006/relationships/hyperlink" Target="https://annonces-pro.tendanceouest.com/" TargetMode="External"/><Relationship Id="rId35" Type="http://schemas.openxmlformats.org/officeDocument/2006/relationships/hyperlink" Target="https://www.regieouest.fr/contact/" TargetMode="External"/><Relationship Id="rId36" Type="http://schemas.openxmlformats.org/officeDocument/2006/relationships/hyperlink" Target="https://www.evasionfm.com/votre-publicite-sur-evasion" TargetMode="External"/><Relationship Id="rId37" Type="http://schemas.openxmlformats.org/officeDocument/2006/relationships/hyperlink" Target="https://patrimoinenormand.com/contact/" TargetMode="External"/><Relationship Id="rId38" Type="http://schemas.openxmlformats.org/officeDocument/2006/relationships/hyperlink" Target="https://www.mediaposte.fr/" TargetMode="External"/><Relationship Id="rId39" Type="http://schemas.openxmlformats.org/officeDocument/2006/relationships/hyperlink" Target="https://www.infonormandie.com/submit/"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www.sortiraparis.com/en/what-to-do-in-paris/shows-and-fairs/articles/307825-les-thermalies-2027-the-free-fair-of-water-and-well-being-at-the-carrousel-du-louvre" TargetMode="External"/><Relationship Id="rId11" Type="http://schemas.openxmlformats.org/officeDocument/2006/relationships/hyperlink" Target="https://www.trouville.fr/wp-content/uploads/2026/07/La-Mouette-N-19.pdf" TargetMode="External"/><Relationship Id="rId12" Type="http://schemas.openxmlformats.org/officeDocument/2006/relationships/hyperlink" Target="https://tradefest.io/en/event/simi-professional" TargetMode="External"/><Relationship Id="rId13" Type="http://schemas.openxmlformats.org/officeDocument/2006/relationships/hyperlink" Target="https://www.espace-aubade.fr/magasins/carrelage/val-d-oise.html" TargetMode="External"/><Relationship Id="rId14" Type="http://schemas.openxmlformats.org/officeDocument/2006/relationships/hyperlink" Target="https://www.gedimat.fr/magasins" TargetMode="External"/><Relationship Id="rId15" Type="http://schemas.openxmlformats.org/officeDocument/2006/relationships/hyperlink" Target="https://www.destockplus.com/nos-services.html" TargetMode="External"/><Relationship Id="rId16" Type="http://schemas.openxmlformats.org/officeDocument/2006/relationships/hyperlink" Target="https://www.stoneadd.com/requests.asp" TargetMode="External"/><Relationship Id="rId17" Type="http://schemas.openxmlformats.org/officeDocument/2006/relationships/hyperlink" Target="https://www.stonecontact.com/" TargetMode="External"/><Relationship Id="rId18" Type="http://schemas.openxmlformats.org/officeDocument/2006/relationships/hyperlink" Target="https://www.europages.fr/" TargetMode="External"/><Relationship Id="rId19" Type="http://schemas.openxmlformats.org/officeDocument/2006/relationships/hyperlink" Target="https://www.go4worldbusiness.com/pricing" TargetMode="External"/><Relationship Id="rId20" Type="http://schemas.openxmlformats.org/officeDocument/2006/relationships/hyperlink" Target="https://help.shopify.com/en/manual/online-sales-channels/agentic-storefronts/chatgpt"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www.facebook.com/groups/tusaisquetuviensderouen/" TargetMode="External"/><Relationship Id="rId2" Type="http://schemas.openxmlformats.org/officeDocument/2006/relationships/hyperlink" Target="https://www.tendanceouest.com/actualite-291607-rouen-avec-plus-de-45-000-fans-cette-page-facebook-est-unique-a-rouen" TargetMode="External"/><Relationship Id="rId3" Type="http://schemas.openxmlformats.org/officeDocument/2006/relationships/hyperlink" Target="https://www.ici.fr/infos/insolite/facebook-avec-500-000-abonnes-fabien-tassel-connecte-les-normands-1565552960" TargetMode="External"/><Relationship Id="rId4" Type="http://schemas.openxmlformats.org/officeDocument/2006/relationships/hyperlink" Target="https://www.facebook.com/groups/tusaisquetuviensdecaen/" TargetMode="External"/><Relationship Id="rId5" Type="http://schemas.openxmlformats.org/officeDocument/2006/relationships/hyperlink" Target="https://www.ici.fr/infos/insolite/facebook-avec-500-000-abonnes-fabien-tassel-connecte-les-normands-1565552960" TargetMode="External"/><Relationship Id="rId6" Type="http://schemas.openxmlformats.org/officeDocument/2006/relationships/hyperlink" Target="https://www.facebook.com/groups/tsqtvdhavre/" TargetMode="External"/><Relationship Id="rId7" Type="http://schemas.openxmlformats.org/officeDocument/2006/relationships/hyperlink" Target="https://www.ici.fr/infos/insolite/facebook-avec-500-000-abonnes-fabien-tassel-connecte-les-normands-1565552960" TargetMode="External"/><Relationship Id="rId8" Type="http://schemas.openxmlformats.org/officeDocument/2006/relationships/hyperlink" Target="https://www.facebook.com/groups/tusaisquetuviensdevreux" TargetMode="External"/><Relationship Id="rId9" Type="http://schemas.openxmlformats.org/officeDocument/2006/relationships/hyperlink" Target="https://www.ici.fr/infos/insolite/facebook-avec-500-000-abonnes-fabien-tassel-connecte-les-normands-1565552960" TargetMode="External"/><Relationship Id="rId10" Type="http://schemas.openxmlformats.org/officeDocument/2006/relationships/hyperlink" Target="https://www.facebook.com/groups/tsqtvdlouviers/" TargetMode="External"/><Relationship Id="rId11" Type="http://schemas.openxmlformats.org/officeDocument/2006/relationships/hyperlink" Target="https://www.ici.fr/infos/insolite/facebook-avec-500-000-abonnes-fabien-tassel-connecte-les-normands-1565552960" TargetMode="External"/><Relationship Id="rId12" Type="http://schemas.openxmlformats.org/officeDocument/2006/relationships/hyperlink" Target="https://www.facebook.com/groups/tsqtvdbernay/" TargetMode="External"/><Relationship Id="rId13" Type="http://schemas.openxmlformats.org/officeDocument/2006/relationships/hyperlink" Target="https://www.ici.fr/infos/insolite/facebook-avec-500-000-abonnes-fabien-tassel-connecte-les-normands-1565552960" TargetMode="External"/><Relationship Id="rId14" Type="http://schemas.openxmlformats.org/officeDocument/2006/relationships/hyperlink" Target="https://www.facebook.com/groups/tsqtvdn/" TargetMode="External"/><Relationship Id="rId15" Type="http://schemas.openxmlformats.org/officeDocument/2006/relationships/hyperlink" Target="https://www.ici.fr/infos/insolite/facebook-avec-500-000-abonnes-fabien-tassel-connecte-les-normands-1565552960" TargetMode="External"/><Relationship Id="rId16" Type="http://schemas.openxmlformats.org/officeDocument/2006/relationships/hyperlink" Target="https://www.facebook.com/groups/226979384170433" TargetMode="External"/><Relationship Id="rId17" Type="http://schemas.openxmlformats.org/officeDocument/2006/relationships/hyperlink" Target="https://www.ici.fr/infos/insolite/facebook-avec-500-000-abonnes-fabien-tassel-connecte-les-normands-1565552960" TargetMode="External"/><Relationship Id="rId18" Type="http://schemas.openxmlformats.org/officeDocument/2006/relationships/hyperlink" Target="https://www.facebook.com/groups/tusaisquetuviensdefecamp" TargetMode="External"/><Relationship Id="rId19" Type="http://schemas.openxmlformats.org/officeDocument/2006/relationships/hyperlink" Target="https://www.ici.fr/infos/insolite/facebook-avec-500-000-abonnes-fabien-tassel-connecte-les-normands-1565552960" TargetMode="External"/><Relationship Id="rId20" Type="http://schemas.openxmlformats.org/officeDocument/2006/relationships/hyperlink" Target="https://www.facebook.com/groups/tusaisquetuviensdeyvetot" TargetMode="External"/><Relationship Id="rId21" Type="http://schemas.openxmlformats.org/officeDocument/2006/relationships/hyperlink" Target="https://www.ici.fr/infos/insolite/facebook-avec-500-000-abonnes-fabien-tassel-connecte-les-normands-1565552960" TargetMode="External"/><Relationship Id="rId22" Type="http://schemas.openxmlformats.org/officeDocument/2006/relationships/hyperlink" Target="https://www.facebook.com/groups/tusaisquetuviensdebarentin" TargetMode="External"/><Relationship Id="rId23" Type="http://schemas.openxmlformats.org/officeDocument/2006/relationships/hyperlink" Target="https://www.ici.fr/infos/insolite/facebook-avec-500-000-abonnes-fabien-tassel-connecte-les-normands-1565552960" TargetMode="External"/><Relationship Id="rId24" Type="http://schemas.openxmlformats.org/officeDocument/2006/relationships/hyperlink" Target="https://www.facebook.com/groups/tusaisquetuviensdebolbec" TargetMode="External"/><Relationship Id="rId25" Type="http://schemas.openxmlformats.org/officeDocument/2006/relationships/hyperlink" Target="https://www.ici.fr/infos/insolite/facebook-avec-500-000-abonnes-fabien-tassel-connecte-les-normands-1565552960" TargetMode="External"/><Relationship Id="rId26" Type="http://schemas.openxmlformats.org/officeDocument/2006/relationships/hyperlink" Target="https://www.facebook.com/groups/tusaisquetuviensdepavilly" TargetMode="External"/><Relationship Id="rId27" Type="http://schemas.openxmlformats.org/officeDocument/2006/relationships/hyperlink" Target="https://www.ici.fr/infos/insolite/facebook-avec-500-000-abonnes-fabien-tassel-connecte-les-normands-1565552960" TargetMode="External"/><Relationship Id="rId28" Type="http://schemas.openxmlformats.org/officeDocument/2006/relationships/hyperlink" Target="https://www.facebook.com/groups/tusaisquetuviensdelillebonne" TargetMode="External"/><Relationship Id="rId29" Type="http://schemas.openxmlformats.org/officeDocument/2006/relationships/hyperlink" Target="https://www.ici.fr/infos/insolite/facebook-avec-500-000-abonnes-fabien-tassel-connecte-les-normands-1565552960" TargetMode="External"/><Relationship Id="rId30" Type="http://schemas.openxmlformats.org/officeDocument/2006/relationships/hyperlink" Target="https://www.facebook.com/groups/tusaisquetuviensdendg" TargetMode="External"/><Relationship Id="rId31" Type="http://schemas.openxmlformats.org/officeDocument/2006/relationships/hyperlink" Target="https://www.ici.fr/infos/insolite/facebook-avec-500-000-abonnes-fabien-tassel-connecte-les-normands-1565552960" TargetMode="External"/><Relationship Id="rId32" Type="http://schemas.openxmlformats.org/officeDocument/2006/relationships/hyperlink" Target="https://www.facebook.com/groups/tusaisquetuviensdesaintromaindecolbosc/" TargetMode="External"/><Relationship Id="rId33" Type="http://schemas.openxmlformats.org/officeDocument/2006/relationships/hyperlink" Target="https://www.ici.fr/infos/insolite/facebook-avec-500-000-abonnes-fabien-tassel-connecte-les-normands-1565552960" TargetMode="External"/><Relationship Id="rId34" Type="http://schemas.openxmlformats.org/officeDocument/2006/relationships/hyperlink" Target="https://www.facebook.com/groups/1921959854590236" TargetMode="External"/><Relationship Id="rId35" Type="http://schemas.openxmlformats.org/officeDocument/2006/relationships/hyperlink" Target="https://www.ici.fr/emissions/les-solutions-de-valere-correard/20-ans-apres-la-proximite-reste-un-repere-sur-certains-groupes-facebook-8677537" TargetMode="External"/><Relationship Id="rId36" Type="http://schemas.openxmlformats.org/officeDocument/2006/relationships/hyperlink" Target="https://www.facebook.com/groups/71053733322/" TargetMode="External"/><Relationship Id="rId37" Type="http://schemas.openxmlformats.org/officeDocument/2006/relationships/hyperlink" Target="https://www.ici.fr/emissions/les-solutions-de-valere-correard/20-ans-apres-la-proximite-reste-un-repere-sur-certains-groupes-facebook-8677537" TargetMode="External"/><Relationship Id="rId38" Type="http://schemas.openxmlformats.org/officeDocument/2006/relationships/hyperlink" Target="https://www.facebook.com/groups/1355035407896695" TargetMode="External"/><Relationship Id="rId39" Type="http://schemas.openxmlformats.org/officeDocument/2006/relationships/hyperlink" Target="https://tool-advisor.fr/blog/groupe-facebook-entrepreneur/"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70"/>
    <col collapsed="false" customWidth="true" hidden="false" outlineLevel="0" max="4" min="4" style="0" width="22"/>
  </cols>
  <sheetData>
    <row r="1" customFormat="false" ht="17.35" hidden="false" customHeight="false" outlineLevel="0" collapsed="false">
      <c r="A1" s="1" t="s">
        <v>0</v>
      </c>
    </row>
    <row r="2" customFormat="false" ht="31.5" hidden="false" customHeight="true" outlineLevel="0" collapsed="false">
      <c r="A2" s="2" t="s">
        <v>1</v>
      </c>
      <c r="B2" s="2"/>
      <c r="C2" s="2"/>
      <c r="D2" s="2"/>
    </row>
    <row r="4" customFormat="false" ht="15" hidden="false" customHeight="false" outlineLevel="0" collapsed="false">
      <c r="A4" s="3" t="s">
        <v>2</v>
      </c>
    </row>
    <row r="5" customFormat="false" ht="15" hidden="false" customHeight="false" outlineLevel="0" collapsed="false">
      <c r="A5" s="0" t="s">
        <v>3</v>
      </c>
      <c r="B5" s="3" t="n">
        <f aca="false">COUNTA('Tous les clients'!E2:E250)</f>
        <v>249</v>
      </c>
    </row>
    <row r="6" customFormat="false" ht="15" hidden="false" customHeight="false" outlineLevel="0" collapsed="false">
      <c r="A6" s="0" t="s">
        <v>4</v>
      </c>
      <c r="B6" s="3" t="n">
        <f aca="false">COUNTIFS('Tous les clients'!B2:B250,"Pro France",'Tous les clients'!G2:G250,"Île-de-France")</f>
        <v>115</v>
      </c>
    </row>
    <row r="7" customFormat="false" ht="15" hidden="false" customHeight="false" outlineLevel="0" collapsed="false">
      <c r="A7" s="0" t="s">
        <v>5</v>
      </c>
      <c r="B7" s="3" t="n">
        <f aca="false">COUNTIFS('Tous les clients'!B2:B250,"Pro France",'Tous les clients'!G2:G250,"Normandie")</f>
        <v>82</v>
      </c>
    </row>
    <row r="8" customFormat="false" ht="15" hidden="false" customHeight="false" outlineLevel="0" collapsed="false">
      <c r="A8" s="0" t="s">
        <v>6</v>
      </c>
      <c r="B8" s="3" t="n">
        <f aca="false">COUNTIF('Tous les clients'!B2:B250,"Acheteur export (RFQ)")</f>
        <v>52</v>
      </c>
    </row>
    <row r="9" customFormat="false" ht="15" hidden="false" customHeight="false" outlineLevel="0" collapsed="false">
      <c r="A9" s="0" t="s">
        <v>7</v>
      </c>
      <c r="B9" s="3" t="n">
        <f aca="false">COUNTIF('Tous les clients'!C2:C250,1)</f>
        <v>48</v>
      </c>
    </row>
    <row r="10" customFormat="false" ht="15" hidden="false" customHeight="false" outlineLevel="0" collapsed="false">
      <c r="A10" s="0" t="s">
        <v>8</v>
      </c>
      <c r="B10" s="3" t="n">
        <f aca="false">COUNTA('Tous les clients'!L2:L250)-COUNTIF('Tous les clients'!L2:L250,"À contacter")-COUNTIF('Tous les clients'!L2:L250,"À étudier")</f>
        <v>0</v>
      </c>
    </row>
    <row r="12" customFormat="false" ht="15" hidden="false" customHeight="false" outlineLevel="0" collapsed="false">
      <c r="A12" s="3" t="s">
        <v>9</v>
      </c>
    </row>
    <row r="13" customFormat="false" ht="15" hidden="false" customHeight="false" outlineLevel="0" collapsed="false">
      <c r="A13" s="0" t="s">
        <v>10</v>
      </c>
      <c r="B13" s="0" t="n">
        <f aca="false">COUNTIF('Tous les clients'!D2:D250,"Paysagiste")</f>
        <v>46</v>
      </c>
    </row>
    <row r="14" customFormat="false" ht="15" hidden="false" customHeight="false" outlineLevel="0" collapsed="false">
      <c r="A14" s="0" t="s">
        <v>11</v>
      </c>
      <c r="B14" s="0" t="n">
        <f aca="false">COUNTIF('Tous les clients'!D2:D250,"Pisciniste")</f>
        <v>24</v>
      </c>
    </row>
    <row r="15" customFormat="false" ht="15" hidden="false" customHeight="false" outlineLevel="0" collapsed="false">
      <c r="A15" s="0" t="s">
        <v>12</v>
      </c>
      <c r="B15" s="0" t="n">
        <f aca="false">COUNTIF('Tous les clients'!D2:D250,"Négoce / revendeur")</f>
        <v>22</v>
      </c>
    </row>
    <row r="16" customFormat="false" ht="15" hidden="false" customHeight="false" outlineLevel="0" collapsed="false">
      <c r="A16" s="0" t="s">
        <v>13</v>
      </c>
      <c r="B16" s="0" t="n">
        <f aca="false">COUNTIF('Tous les clients'!D2:D250,"Showroom carrelage")</f>
        <v>20</v>
      </c>
    </row>
    <row r="17" customFormat="false" ht="15" hidden="false" customHeight="false" outlineLevel="0" collapsed="false">
      <c r="A17" s="0" t="s">
        <v>14</v>
      </c>
      <c r="B17" s="0" t="n">
        <f aca="false">COUNTIF('Tous les clients'!D2:D250,"Marbrerie")</f>
        <v>19</v>
      </c>
    </row>
    <row r="18" customFormat="false" ht="15" hidden="false" customHeight="false" outlineLevel="0" collapsed="false">
      <c r="A18" s="0" t="s">
        <v>15</v>
      </c>
      <c r="B18" s="0" t="n">
        <f aca="false">COUNTIF('Tous les clients'!D2:D250,"Carreleur / poseur pierre")</f>
        <v>14</v>
      </c>
    </row>
    <row r="19" customFormat="false" ht="15" hidden="false" customHeight="false" outlineLevel="0" collapsed="false">
      <c r="A19" s="0" t="s">
        <v>16</v>
      </c>
      <c r="B19" s="0" t="n">
        <f aca="false">COUNTIF('Tous les clients'!D2:D250,"Rénovation haut de gamme")</f>
        <v>12</v>
      </c>
    </row>
    <row r="20" customFormat="false" ht="15" hidden="false" customHeight="false" outlineLevel="0" collapsed="false">
      <c r="A20" s="0" t="s">
        <v>17</v>
      </c>
      <c r="B20" s="0" t="n">
        <f aca="false">COUNTIF('Tous les clients'!D2:D250,"Constructeur de maisons")</f>
        <v>11</v>
      </c>
    </row>
    <row r="21" customFormat="false" ht="15" hidden="false" customHeight="false" outlineLevel="0" collapsed="false">
      <c r="A21" s="0" t="s">
        <v>18</v>
      </c>
      <c r="B21" s="0" t="n">
        <f aca="false">COUNTIF('Tous les clients'!D2:D250,"Architecte d'intérieur")</f>
        <v>9</v>
      </c>
    </row>
    <row r="22" customFormat="false" ht="15" hidden="false" customHeight="false" outlineLevel="0" collapsed="false">
      <c r="A22" s="0" t="s">
        <v>19</v>
      </c>
      <c r="B22" s="0" t="n">
        <f aca="false">COUNTIF('Tous les clients'!D2:D250,"Spa / hammam")</f>
        <v>4</v>
      </c>
    </row>
    <row r="23" customFormat="false" ht="15" hidden="false" customHeight="false" outlineLevel="0" collapsed="false">
      <c r="A23" s="0" t="s">
        <v>20</v>
      </c>
      <c r="B23" s="0" t="n">
        <f aca="false">COUNTIF('Tous les clients'!D2:D250,"Jardinerie / matériaux paysage")</f>
        <v>3</v>
      </c>
    </row>
    <row r="24" customFormat="false" ht="15" hidden="false" customHeight="false" outlineLevel="0" collapsed="false">
      <c r="A24" s="0" t="s">
        <v>21</v>
      </c>
      <c r="B24" s="0" t="n">
        <f aca="false">COUNTIF('Tous les clients'!D2:D250,"Maître d'œuvre")</f>
        <v>3</v>
      </c>
    </row>
    <row r="25" customFormat="false" ht="15" hidden="false" customHeight="false" outlineLevel="0" collapsed="false">
      <c r="A25" s="0" t="s">
        <v>22</v>
      </c>
      <c r="B25" s="0" t="n">
        <f aca="false">COUNTIF('Tous les clients'!D2:D250,"Hôtel / restaurant")</f>
        <v>3</v>
      </c>
    </row>
    <row r="26" customFormat="false" ht="15" hidden="false" customHeight="false" outlineLevel="0" collapsed="false">
      <c r="A26" s="0" t="s">
        <v>23</v>
      </c>
      <c r="B26" s="0" t="n">
        <f aca="false">COUNTIF('Tous les clients'!D2:D250,"Architecte")</f>
        <v>2</v>
      </c>
    </row>
    <row r="27" customFormat="false" ht="15" hidden="false" customHeight="false" outlineLevel="0" collapsed="false">
      <c r="A27" s="0" t="s">
        <v>24</v>
      </c>
      <c r="B27" s="0" t="n">
        <f aca="false">COUNTIF('Tous les clients'!D2:D250,"Promoteur")</f>
        <v>2</v>
      </c>
    </row>
    <row r="28" customFormat="false" ht="15" hidden="false" customHeight="false" outlineLevel="0" collapsed="false">
      <c r="A28" s="0" t="s">
        <v>25</v>
      </c>
      <c r="B28" s="0" t="n">
        <f aca="false">COUNTIF('Tous les clients'!D2:D250,"Travaux publics / VRD")</f>
        <v>1</v>
      </c>
    </row>
    <row r="29" customFormat="false" ht="15" hidden="false" customHeight="false" outlineLevel="0" collapsed="false">
      <c r="A29" s="0" t="s">
        <v>26</v>
      </c>
      <c r="B29" s="0" t="n">
        <f aca="false">COUNTIF('Tous les clients'!D2:D250,"Salle de bains")</f>
        <v>1</v>
      </c>
    </row>
    <row r="30" customFormat="false" ht="15" hidden="false" customHeight="false" outlineLevel="0" collapsed="false">
      <c r="A30" s="0" t="s">
        <v>27</v>
      </c>
      <c r="B30" s="0" t="n">
        <f aca="false">COUNTIF('Tous les clients'!D2:D250,"Entreprise bâtiment")</f>
        <v>1</v>
      </c>
    </row>
    <row r="32" customFormat="false" ht="15" hidden="false" customHeight="false" outlineLevel="0" collapsed="false">
      <c r="A32" s="3" t="s">
        <v>28</v>
      </c>
    </row>
    <row r="33" customFormat="false" ht="15" hidden="false" customHeight="false" outlineLevel="0" collapsed="false">
      <c r="A33" s="4" t="s">
        <v>29</v>
      </c>
      <c r="B33" s="4" t="s">
        <v>30</v>
      </c>
      <c r="C33" s="4" t="s">
        <v>31</v>
      </c>
      <c r="D33" s="4" t="s">
        <v>32</v>
      </c>
    </row>
    <row r="34" customFormat="false" ht="41.75" hidden="false" customHeight="false" outlineLevel="0" collapsed="false">
      <c r="A34" s="5" t="s">
        <v>33</v>
      </c>
      <c r="B34" s="6" t="s">
        <v>34</v>
      </c>
      <c r="C34" s="5" t="s">
        <v>35</v>
      </c>
      <c r="D34" s="5" t="s">
        <v>36</v>
      </c>
    </row>
    <row r="35" customFormat="false" ht="41.75" hidden="false" customHeight="false" outlineLevel="0" collapsed="false">
      <c r="A35" s="5" t="s">
        <v>37</v>
      </c>
      <c r="B35" s="6" t="s">
        <v>38</v>
      </c>
      <c r="C35" s="5" t="s">
        <v>39</v>
      </c>
      <c r="D35" s="5" t="s">
        <v>40</v>
      </c>
    </row>
    <row r="36" customFormat="false" ht="41.75" hidden="false" customHeight="false" outlineLevel="0" collapsed="false">
      <c r="A36" s="5" t="s">
        <v>41</v>
      </c>
      <c r="B36" s="6" t="s">
        <v>42</v>
      </c>
      <c r="C36" s="5" t="s">
        <v>43</v>
      </c>
      <c r="D36" s="5" t="s">
        <v>44</v>
      </c>
    </row>
    <row r="37" customFormat="false" ht="28.35" hidden="false" customHeight="false" outlineLevel="0" collapsed="false">
      <c r="A37" s="5" t="s">
        <v>45</v>
      </c>
      <c r="B37" s="6" t="s">
        <v>46</v>
      </c>
      <c r="C37" s="5" t="s">
        <v>47</v>
      </c>
      <c r="D37" s="5" t="s">
        <v>48</v>
      </c>
    </row>
    <row r="38" customFormat="false" ht="41.75" hidden="false" customHeight="false" outlineLevel="0" collapsed="false">
      <c r="A38" s="5" t="s">
        <v>49</v>
      </c>
      <c r="B38" s="6" t="s">
        <v>50</v>
      </c>
      <c r="C38" s="5" t="s">
        <v>51</v>
      </c>
      <c r="D38" s="5" t="s">
        <v>52</v>
      </c>
    </row>
    <row r="39" customFormat="false" ht="41.75" hidden="false" customHeight="false" outlineLevel="0" collapsed="false">
      <c r="A39" s="5" t="s">
        <v>53</v>
      </c>
      <c r="B39" s="6" t="s">
        <v>54</v>
      </c>
      <c r="C39" s="5" t="s">
        <v>55</v>
      </c>
      <c r="D39" s="5" t="s">
        <v>56</v>
      </c>
    </row>
    <row r="40" customFormat="false" ht="55.2" hidden="false" customHeight="false" outlineLevel="0" collapsed="false">
      <c r="A40" s="5" t="s">
        <v>57</v>
      </c>
      <c r="B40" s="6" t="s">
        <v>54</v>
      </c>
      <c r="C40" s="5" t="s">
        <v>58</v>
      </c>
      <c r="D40" s="5"/>
    </row>
    <row r="41" customFormat="false" ht="28.35" hidden="false" customHeight="false" outlineLevel="0" collapsed="false">
      <c r="A41" s="5" t="s">
        <v>59</v>
      </c>
      <c r="B41" s="6" t="s">
        <v>60</v>
      </c>
      <c r="C41" s="5" t="s">
        <v>61</v>
      </c>
      <c r="D41" s="5" t="s">
        <v>62</v>
      </c>
    </row>
    <row r="43" customFormat="false" ht="15" hidden="false" customHeight="false" outlineLevel="0" collapsed="false">
      <c r="A43" s="3" t="s">
        <v>63</v>
      </c>
    </row>
    <row r="44" customFormat="false" ht="45" hidden="false" customHeight="true" outlineLevel="0" collapsed="false">
      <c r="A44" s="0" t="s">
        <v>64</v>
      </c>
      <c r="B44" s="2" t="s">
        <v>65</v>
      </c>
      <c r="C44" s="2"/>
      <c r="D44" s="2"/>
    </row>
    <row r="45" customFormat="false" ht="45" hidden="false" customHeight="true" outlineLevel="0" collapsed="false">
      <c r="A45" s="0" t="s">
        <v>64</v>
      </c>
      <c r="B45" s="2" t="s">
        <v>66</v>
      </c>
      <c r="C45" s="2"/>
      <c r="D45" s="2"/>
    </row>
    <row r="46" customFormat="false" ht="45" hidden="false" customHeight="true" outlineLevel="0" collapsed="false">
      <c r="A46" s="0" t="s">
        <v>64</v>
      </c>
      <c r="B46" s="2" t="s">
        <v>67</v>
      </c>
      <c r="C46" s="2"/>
      <c r="D46" s="2"/>
    </row>
    <row r="47" customFormat="false" ht="45" hidden="false" customHeight="true" outlineLevel="0" collapsed="false">
      <c r="A47" s="0" t="s">
        <v>64</v>
      </c>
      <c r="B47" s="2" t="s">
        <v>68</v>
      </c>
      <c r="C47" s="2"/>
      <c r="D47" s="2"/>
    </row>
    <row r="48" customFormat="false" ht="45" hidden="false" customHeight="true" outlineLevel="0" collapsed="false">
      <c r="A48" s="0" t="s">
        <v>64</v>
      </c>
      <c r="B48" s="2" t="s">
        <v>69</v>
      </c>
      <c r="C48" s="2"/>
      <c r="D48" s="2"/>
    </row>
    <row r="49" customFormat="false" ht="45" hidden="false" customHeight="true" outlineLevel="0" collapsed="false">
      <c r="A49" s="0" t="s">
        <v>64</v>
      </c>
      <c r="B49" s="2" t="s">
        <v>70</v>
      </c>
      <c r="C49" s="2"/>
      <c r="D49" s="2"/>
    </row>
  </sheetData>
  <mergeCells count="7">
    <mergeCell ref="A2:D2"/>
    <mergeCell ref="B44:D44"/>
    <mergeCell ref="B45:D45"/>
    <mergeCell ref="B46:D46"/>
    <mergeCell ref="B47:D47"/>
    <mergeCell ref="B48:D48"/>
    <mergeCell ref="B49:D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8"/>
    <col collapsed="false" customWidth="true" hidden="false" outlineLevel="0" max="3" min="3" style="0" width="9"/>
    <col collapsed="false" customWidth="true" hidden="false" outlineLevel="0" max="4" min="4" style="0" width="24"/>
    <col collapsed="false" customWidth="true" hidden="false" outlineLevel="0" max="5" min="5" style="0" width="34"/>
    <col collapsed="false" customWidth="true" hidden="false" outlineLevel="0" max="6" min="6" style="0" width="24"/>
    <col collapsed="false" customWidth="true" hidden="false" outlineLevel="0" max="7" min="7" style="0" width="13"/>
    <col collapsed="false" customWidth="true" hidden="false" outlineLevel="0" max="8" min="8" style="0" width="60"/>
    <col collapsed="false" customWidth="true" hidden="false" outlineLevel="0" max="9" min="9" style="0" width="22"/>
    <col collapsed="false" customWidth="true" hidden="false" outlineLevel="0" max="10" min="10" style="0" width="16"/>
    <col collapsed="false" customWidth="true" hidden="false" outlineLevel="0" max="11" min="11" style="0" width="10"/>
    <col collapsed="false" customWidth="true" hidden="false" outlineLevel="0" max="12" min="12" style="0" width="14"/>
    <col collapsed="false" customWidth="true" hidden="false" outlineLevel="0" max="13" min="13" style="0" width="13"/>
    <col collapsed="false" customWidth="true" hidden="false" outlineLevel="0" max="14" min="14" style="0" width="24"/>
    <col collapsed="false" customWidth="true" hidden="false" outlineLevel="0" max="15" min="15" style="0" width="40"/>
    <col collapsed="false" customWidth="true" hidden="false" outlineLevel="0" max="16" min="16" style="0" width="16"/>
  </cols>
  <sheetData>
    <row r="1" customFormat="false" ht="28.35" hidden="false" customHeight="false" outlineLevel="0" collapsed="false">
      <c r="A1" s="7" t="s">
        <v>71</v>
      </c>
      <c r="B1" s="7" t="s">
        <v>72</v>
      </c>
      <c r="C1" s="7" t="s">
        <v>73</v>
      </c>
      <c r="D1" s="7" t="s">
        <v>74</v>
      </c>
      <c r="E1" s="7" t="s">
        <v>75</v>
      </c>
      <c r="F1" s="7" t="s">
        <v>76</v>
      </c>
      <c r="G1" s="7" t="s">
        <v>77</v>
      </c>
      <c r="H1" s="7" t="s">
        <v>78</v>
      </c>
      <c r="I1" s="7" t="s">
        <v>79</v>
      </c>
      <c r="J1" s="7" t="s">
        <v>80</v>
      </c>
      <c r="K1" s="7" t="s">
        <v>81</v>
      </c>
      <c r="L1" s="7" t="s">
        <v>82</v>
      </c>
      <c r="M1" s="7" t="s">
        <v>83</v>
      </c>
      <c r="N1" s="7" t="s">
        <v>84</v>
      </c>
      <c r="O1" s="7" t="s">
        <v>85</v>
      </c>
      <c r="P1" s="7" t="s">
        <v>86</v>
      </c>
    </row>
    <row r="2" customFormat="false" ht="41.75" hidden="false" customHeight="false" outlineLevel="0" collapsed="false">
      <c r="A2" s="5" t="n">
        <v>1</v>
      </c>
      <c r="B2" s="5" t="s">
        <v>87</v>
      </c>
      <c r="C2" s="5" t="n">
        <v>1</v>
      </c>
      <c r="D2" s="5" t="s">
        <v>20</v>
      </c>
      <c r="E2" s="5" t="s">
        <v>88</v>
      </c>
      <c r="F2" s="5" t="s">
        <v>89</v>
      </c>
      <c r="G2" s="5" t="s">
        <v>90</v>
      </c>
      <c r="H2" s="5" t="s">
        <v>91</v>
      </c>
      <c r="I2" s="8" t="s">
        <v>92</v>
      </c>
      <c r="J2" s="5" t="s">
        <v>93</v>
      </c>
      <c r="K2" s="8" t="s">
        <v>94</v>
      </c>
      <c r="L2" s="9" t="s">
        <v>95</v>
      </c>
      <c r="M2" s="10"/>
      <c r="N2" s="10"/>
      <c r="O2" s="10"/>
      <c r="P2" s="5" t="s">
        <v>96</v>
      </c>
    </row>
    <row r="3" customFormat="false" ht="41.75" hidden="false" customHeight="false" outlineLevel="0" collapsed="false">
      <c r="A3" s="5" t="n">
        <v>2</v>
      </c>
      <c r="B3" s="5" t="s">
        <v>87</v>
      </c>
      <c r="C3" s="5" t="n">
        <v>1</v>
      </c>
      <c r="D3" s="5" t="s">
        <v>12</v>
      </c>
      <c r="E3" s="5" t="s">
        <v>97</v>
      </c>
      <c r="F3" s="5" t="s">
        <v>98</v>
      </c>
      <c r="G3" s="5" t="s">
        <v>90</v>
      </c>
      <c r="H3" s="5" t="s">
        <v>99</v>
      </c>
      <c r="I3" s="8" t="s">
        <v>100</v>
      </c>
      <c r="J3" s="5" t="s">
        <v>101</v>
      </c>
      <c r="K3" s="8" t="s">
        <v>94</v>
      </c>
      <c r="L3" s="9" t="s">
        <v>95</v>
      </c>
      <c r="M3" s="10"/>
      <c r="N3" s="10"/>
      <c r="O3" s="10"/>
      <c r="P3" s="5" t="s">
        <v>102</v>
      </c>
    </row>
    <row r="4" customFormat="false" ht="41.75" hidden="false" customHeight="false" outlineLevel="0" collapsed="false">
      <c r="A4" s="5" t="n">
        <v>3</v>
      </c>
      <c r="B4" s="5" t="s">
        <v>87</v>
      </c>
      <c r="C4" s="5" t="n">
        <v>1</v>
      </c>
      <c r="D4" s="5" t="s">
        <v>13</v>
      </c>
      <c r="E4" s="5" t="s">
        <v>103</v>
      </c>
      <c r="F4" s="5" t="s">
        <v>104</v>
      </c>
      <c r="G4" s="5" t="s">
        <v>90</v>
      </c>
      <c r="H4" s="5" t="s">
        <v>105</v>
      </c>
      <c r="I4" s="8" t="s">
        <v>106</v>
      </c>
      <c r="J4" s="5" t="s">
        <v>107</v>
      </c>
      <c r="K4" s="8" t="s">
        <v>94</v>
      </c>
      <c r="L4" s="9" t="s">
        <v>95</v>
      </c>
      <c r="M4" s="10"/>
      <c r="N4" s="10"/>
      <c r="O4" s="10"/>
      <c r="P4" s="5" t="s">
        <v>96</v>
      </c>
    </row>
    <row r="5" customFormat="false" ht="28.35" hidden="false" customHeight="false" outlineLevel="0" collapsed="false">
      <c r="A5" s="5" t="n">
        <v>4</v>
      </c>
      <c r="B5" s="5" t="s">
        <v>87</v>
      </c>
      <c r="C5" s="5" t="n">
        <v>1</v>
      </c>
      <c r="D5" s="5" t="s">
        <v>12</v>
      </c>
      <c r="E5" s="5" t="s">
        <v>108</v>
      </c>
      <c r="F5" s="5" t="s">
        <v>109</v>
      </c>
      <c r="G5" s="5" t="s">
        <v>90</v>
      </c>
      <c r="H5" s="5" t="s">
        <v>110</v>
      </c>
      <c r="I5" s="5"/>
      <c r="J5" s="5" t="s">
        <v>111</v>
      </c>
      <c r="K5" s="8" t="s">
        <v>94</v>
      </c>
      <c r="L5" s="9" t="s">
        <v>95</v>
      </c>
      <c r="M5" s="10"/>
      <c r="N5" s="10"/>
      <c r="O5" s="10"/>
      <c r="P5" s="5" t="s">
        <v>112</v>
      </c>
    </row>
    <row r="6" customFormat="false" ht="41.75" hidden="false" customHeight="false" outlineLevel="0" collapsed="false">
      <c r="A6" s="5" t="n">
        <v>5</v>
      </c>
      <c r="B6" s="5" t="s">
        <v>87</v>
      </c>
      <c r="C6" s="5" t="n">
        <v>1</v>
      </c>
      <c r="D6" s="5" t="s">
        <v>12</v>
      </c>
      <c r="E6" s="5" t="s">
        <v>113</v>
      </c>
      <c r="F6" s="5" t="s">
        <v>114</v>
      </c>
      <c r="G6" s="5" t="s">
        <v>90</v>
      </c>
      <c r="H6" s="5" t="s">
        <v>115</v>
      </c>
      <c r="I6" s="8" t="s">
        <v>116</v>
      </c>
      <c r="J6" s="5" t="s">
        <v>117</v>
      </c>
      <c r="K6" s="8" t="s">
        <v>94</v>
      </c>
      <c r="L6" s="9" t="s">
        <v>95</v>
      </c>
      <c r="M6" s="10"/>
      <c r="N6" s="10"/>
      <c r="O6" s="10"/>
      <c r="P6" s="5" t="s">
        <v>102</v>
      </c>
    </row>
    <row r="7" customFormat="false" ht="41.75" hidden="false" customHeight="false" outlineLevel="0" collapsed="false">
      <c r="A7" s="5" t="n">
        <v>6</v>
      </c>
      <c r="B7" s="5" t="s">
        <v>87</v>
      </c>
      <c r="C7" s="5" t="n">
        <v>1</v>
      </c>
      <c r="D7" s="5" t="s">
        <v>12</v>
      </c>
      <c r="E7" s="5" t="s">
        <v>118</v>
      </c>
      <c r="F7" s="5" t="s">
        <v>119</v>
      </c>
      <c r="G7" s="5" t="s">
        <v>90</v>
      </c>
      <c r="H7" s="5" t="s">
        <v>120</v>
      </c>
      <c r="I7" s="8" t="s">
        <v>121</v>
      </c>
      <c r="J7" s="5" t="s">
        <v>122</v>
      </c>
      <c r="K7" s="8" t="s">
        <v>94</v>
      </c>
      <c r="L7" s="9" t="s">
        <v>95</v>
      </c>
      <c r="M7" s="10"/>
      <c r="N7" s="10"/>
      <c r="O7" s="10"/>
      <c r="P7" s="5" t="s">
        <v>96</v>
      </c>
    </row>
    <row r="8" customFormat="false" ht="41.75" hidden="false" customHeight="false" outlineLevel="0" collapsed="false">
      <c r="A8" s="5" t="n">
        <v>7</v>
      </c>
      <c r="B8" s="5" t="s">
        <v>87</v>
      </c>
      <c r="C8" s="5" t="n">
        <v>1</v>
      </c>
      <c r="D8" s="5" t="s">
        <v>13</v>
      </c>
      <c r="E8" s="5" t="s">
        <v>123</v>
      </c>
      <c r="F8" s="5" t="s">
        <v>124</v>
      </c>
      <c r="G8" s="5" t="s">
        <v>90</v>
      </c>
      <c r="H8" s="5" t="s">
        <v>125</v>
      </c>
      <c r="I8" s="8" t="s">
        <v>126</v>
      </c>
      <c r="J8" s="5" t="s">
        <v>127</v>
      </c>
      <c r="K8" s="8" t="s">
        <v>94</v>
      </c>
      <c r="L8" s="9" t="s">
        <v>95</v>
      </c>
      <c r="M8" s="10"/>
      <c r="N8" s="10"/>
      <c r="O8" s="10"/>
      <c r="P8" s="5" t="s">
        <v>96</v>
      </c>
    </row>
    <row r="9" customFormat="false" ht="55.2" hidden="false" customHeight="false" outlineLevel="0" collapsed="false">
      <c r="A9" s="5" t="n">
        <v>8</v>
      </c>
      <c r="B9" s="5" t="s">
        <v>87</v>
      </c>
      <c r="C9" s="5" t="n">
        <v>1</v>
      </c>
      <c r="D9" s="5" t="s">
        <v>10</v>
      </c>
      <c r="E9" s="5" t="s">
        <v>128</v>
      </c>
      <c r="F9" s="5" t="s">
        <v>129</v>
      </c>
      <c r="G9" s="5" t="s">
        <v>90</v>
      </c>
      <c r="H9" s="5" t="s">
        <v>130</v>
      </c>
      <c r="I9" s="8" t="s">
        <v>131</v>
      </c>
      <c r="J9" s="5" t="s">
        <v>132</v>
      </c>
      <c r="K9" s="8" t="s">
        <v>94</v>
      </c>
      <c r="L9" s="9" t="s">
        <v>95</v>
      </c>
      <c r="M9" s="10"/>
      <c r="N9" s="10"/>
      <c r="O9" s="10"/>
      <c r="P9" s="5" t="s">
        <v>96</v>
      </c>
    </row>
    <row r="10" customFormat="false" ht="41.75" hidden="false" customHeight="false" outlineLevel="0" collapsed="false">
      <c r="A10" s="5" t="n">
        <v>9</v>
      </c>
      <c r="B10" s="5" t="s">
        <v>87</v>
      </c>
      <c r="C10" s="5" t="n">
        <v>1</v>
      </c>
      <c r="D10" s="5" t="s">
        <v>12</v>
      </c>
      <c r="E10" s="5" t="s">
        <v>133</v>
      </c>
      <c r="F10" s="5" t="s">
        <v>134</v>
      </c>
      <c r="G10" s="5" t="s">
        <v>90</v>
      </c>
      <c r="H10" s="5" t="s">
        <v>135</v>
      </c>
      <c r="I10" s="8" t="s">
        <v>136</v>
      </c>
      <c r="J10" s="5" t="s">
        <v>137</v>
      </c>
      <c r="K10" s="8" t="s">
        <v>94</v>
      </c>
      <c r="L10" s="9" t="s">
        <v>95</v>
      </c>
      <c r="M10" s="10"/>
      <c r="N10" s="10"/>
      <c r="O10" s="10"/>
      <c r="P10" s="5" t="s">
        <v>102</v>
      </c>
    </row>
    <row r="11" customFormat="false" ht="41.75" hidden="false" customHeight="false" outlineLevel="0" collapsed="false">
      <c r="A11" s="5" t="n">
        <v>10</v>
      </c>
      <c r="B11" s="5" t="s">
        <v>87</v>
      </c>
      <c r="C11" s="5" t="n">
        <v>1</v>
      </c>
      <c r="D11" s="5" t="s">
        <v>24</v>
      </c>
      <c r="E11" s="5" t="s">
        <v>138</v>
      </c>
      <c r="F11" s="5" t="s">
        <v>139</v>
      </c>
      <c r="G11" s="5" t="s">
        <v>90</v>
      </c>
      <c r="H11" s="5" t="s">
        <v>140</v>
      </c>
      <c r="I11" s="8" t="s">
        <v>141</v>
      </c>
      <c r="J11" s="5" t="s">
        <v>142</v>
      </c>
      <c r="K11" s="8" t="s">
        <v>94</v>
      </c>
      <c r="L11" s="9" t="s">
        <v>95</v>
      </c>
      <c r="M11" s="10"/>
      <c r="N11" s="10"/>
      <c r="O11" s="10"/>
      <c r="P11" s="5" t="s">
        <v>96</v>
      </c>
    </row>
    <row r="12" customFormat="false" ht="41.75" hidden="false" customHeight="false" outlineLevel="0" collapsed="false">
      <c r="A12" s="5" t="n">
        <v>11</v>
      </c>
      <c r="B12" s="5" t="s">
        <v>87</v>
      </c>
      <c r="C12" s="5" t="n">
        <v>1</v>
      </c>
      <c r="D12" s="5" t="s">
        <v>12</v>
      </c>
      <c r="E12" s="5" t="s">
        <v>143</v>
      </c>
      <c r="F12" s="5" t="s">
        <v>98</v>
      </c>
      <c r="G12" s="5" t="s">
        <v>90</v>
      </c>
      <c r="H12" s="5" t="s">
        <v>144</v>
      </c>
      <c r="I12" s="8" t="s">
        <v>145</v>
      </c>
      <c r="J12" s="5"/>
      <c r="K12" s="8" t="s">
        <v>94</v>
      </c>
      <c r="L12" s="9" t="s">
        <v>95</v>
      </c>
      <c r="M12" s="10"/>
      <c r="N12" s="10"/>
      <c r="O12" s="10"/>
      <c r="P12" s="5" t="s">
        <v>96</v>
      </c>
    </row>
    <row r="13" customFormat="false" ht="41.75" hidden="false" customHeight="false" outlineLevel="0" collapsed="false">
      <c r="A13" s="5" t="n">
        <v>12</v>
      </c>
      <c r="B13" s="5" t="s">
        <v>87</v>
      </c>
      <c r="C13" s="5" t="n">
        <v>1</v>
      </c>
      <c r="D13" s="5" t="s">
        <v>13</v>
      </c>
      <c r="E13" s="5" t="s">
        <v>146</v>
      </c>
      <c r="F13" s="5" t="s">
        <v>147</v>
      </c>
      <c r="G13" s="5" t="s">
        <v>90</v>
      </c>
      <c r="H13" s="5" t="s">
        <v>148</v>
      </c>
      <c r="I13" s="8" t="s">
        <v>149</v>
      </c>
      <c r="J13" s="5" t="s">
        <v>150</v>
      </c>
      <c r="K13" s="8" t="s">
        <v>94</v>
      </c>
      <c r="L13" s="9" t="s">
        <v>95</v>
      </c>
      <c r="M13" s="10"/>
      <c r="N13" s="10"/>
      <c r="O13" s="10"/>
      <c r="P13" s="5" t="s">
        <v>96</v>
      </c>
    </row>
    <row r="14" customFormat="false" ht="41.75" hidden="false" customHeight="false" outlineLevel="0" collapsed="false">
      <c r="A14" s="5" t="n">
        <v>13</v>
      </c>
      <c r="B14" s="5" t="s">
        <v>87</v>
      </c>
      <c r="C14" s="5" t="n">
        <v>1</v>
      </c>
      <c r="D14" s="5" t="s">
        <v>13</v>
      </c>
      <c r="E14" s="5" t="s">
        <v>151</v>
      </c>
      <c r="F14" s="5" t="s">
        <v>152</v>
      </c>
      <c r="G14" s="5" t="s">
        <v>90</v>
      </c>
      <c r="H14" s="5" t="s">
        <v>153</v>
      </c>
      <c r="I14" s="8" t="s">
        <v>154</v>
      </c>
      <c r="J14" s="5" t="s">
        <v>155</v>
      </c>
      <c r="K14" s="8" t="s">
        <v>94</v>
      </c>
      <c r="L14" s="9" t="s">
        <v>95</v>
      </c>
      <c r="M14" s="10"/>
      <c r="N14" s="10"/>
      <c r="O14" s="10"/>
      <c r="P14" s="5" t="s">
        <v>102</v>
      </c>
    </row>
    <row r="15" customFormat="false" ht="68.65" hidden="false" customHeight="false" outlineLevel="0" collapsed="false">
      <c r="A15" s="5" t="n">
        <v>14</v>
      </c>
      <c r="B15" s="5" t="s">
        <v>87</v>
      </c>
      <c r="C15" s="5" t="n">
        <v>1</v>
      </c>
      <c r="D15" s="5" t="s">
        <v>15</v>
      </c>
      <c r="E15" s="5" t="s">
        <v>156</v>
      </c>
      <c r="F15" s="5" t="s">
        <v>157</v>
      </c>
      <c r="G15" s="5" t="s">
        <v>90</v>
      </c>
      <c r="H15" s="5" t="s">
        <v>158</v>
      </c>
      <c r="I15" s="8" t="s">
        <v>159</v>
      </c>
      <c r="J15" s="5" t="s">
        <v>160</v>
      </c>
      <c r="K15" s="8" t="s">
        <v>94</v>
      </c>
      <c r="L15" s="9" t="s">
        <v>95</v>
      </c>
      <c r="M15" s="10"/>
      <c r="N15" s="10"/>
      <c r="O15" s="10"/>
      <c r="P15" s="5" t="s">
        <v>96</v>
      </c>
    </row>
    <row r="16" customFormat="false" ht="41.75" hidden="false" customHeight="false" outlineLevel="0" collapsed="false">
      <c r="A16" s="5" t="n">
        <v>15</v>
      </c>
      <c r="B16" s="5" t="s">
        <v>87</v>
      </c>
      <c r="C16" s="5" t="n">
        <v>1</v>
      </c>
      <c r="D16" s="5" t="s">
        <v>13</v>
      </c>
      <c r="E16" s="5" t="s">
        <v>161</v>
      </c>
      <c r="F16" s="5" t="s">
        <v>162</v>
      </c>
      <c r="G16" s="5" t="s">
        <v>163</v>
      </c>
      <c r="H16" s="5" t="s">
        <v>164</v>
      </c>
      <c r="I16" s="8" t="s">
        <v>165</v>
      </c>
      <c r="J16" s="5" t="s">
        <v>166</v>
      </c>
      <c r="K16" s="8" t="s">
        <v>94</v>
      </c>
      <c r="L16" s="9" t="s">
        <v>95</v>
      </c>
      <c r="M16" s="10"/>
      <c r="N16" s="10"/>
      <c r="O16" s="10"/>
      <c r="P16" s="5" t="s">
        <v>96</v>
      </c>
    </row>
    <row r="17" customFormat="false" ht="41.75" hidden="false" customHeight="false" outlineLevel="0" collapsed="false">
      <c r="A17" s="5" t="n">
        <v>16</v>
      </c>
      <c r="B17" s="5" t="s">
        <v>87</v>
      </c>
      <c r="C17" s="5" t="n">
        <v>1</v>
      </c>
      <c r="D17" s="5" t="s">
        <v>11</v>
      </c>
      <c r="E17" s="5" t="s">
        <v>167</v>
      </c>
      <c r="F17" s="5" t="s">
        <v>168</v>
      </c>
      <c r="G17" s="5" t="s">
        <v>163</v>
      </c>
      <c r="H17" s="5" t="s">
        <v>169</v>
      </c>
      <c r="I17" s="8" t="s">
        <v>170</v>
      </c>
      <c r="J17" s="5" t="s">
        <v>171</v>
      </c>
      <c r="K17" s="8" t="s">
        <v>94</v>
      </c>
      <c r="L17" s="9" t="s">
        <v>95</v>
      </c>
      <c r="M17" s="10"/>
      <c r="N17" s="10"/>
      <c r="O17" s="10"/>
      <c r="P17" s="5" t="s">
        <v>102</v>
      </c>
    </row>
    <row r="18" customFormat="false" ht="41.75" hidden="false" customHeight="false" outlineLevel="0" collapsed="false">
      <c r="A18" s="5" t="n">
        <v>17</v>
      </c>
      <c r="B18" s="5" t="s">
        <v>87</v>
      </c>
      <c r="C18" s="5" t="n">
        <v>1</v>
      </c>
      <c r="D18" s="5" t="s">
        <v>12</v>
      </c>
      <c r="E18" s="5" t="s">
        <v>172</v>
      </c>
      <c r="F18" s="5" t="s">
        <v>173</v>
      </c>
      <c r="G18" s="5" t="s">
        <v>163</v>
      </c>
      <c r="H18" s="5" t="s">
        <v>174</v>
      </c>
      <c r="I18" s="5"/>
      <c r="J18" s="5" t="s">
        <v>175</v>
      </c>
      <c r="K18" s="8" t="s">
        <v>94</v>
      </c>
      <c r="L18" s="9" t="s">
        <v>95</v>
      </c>
      <c r="M18" s="10"/>
      <c r="N18" s="10"/>
      <c r="O18" s="10"/>
      <c r="P18" s="5" t="s">
        <v>96</v>
      </c>
    </row>
    <row r="19" customFormat="false" ht="41.75" hidden="false" customHeight="false" outlineLevel="0" collapsed="false">
      <c r="A19" s="5" t="n">
        <v>18</v>
      </c>
      <c r="B19" s="5" t="s">
        <v>87</v>
      </c>
      <c r="C19" s="5" t="n">
        <v>1</v>
      </c>
      <c r="D19" s="5" t="s">
        <v>13</v>
      </c>
      <c r="E19" s="5" t="s">
        <v>176</v>
      </c>
      <c r="F19" s="5" t="s">
        <v>177</v>
      </c>
      <c r="G19" s="5" t="s">
        <v>163</v>
      </c>
      <c r="H19" s="5" t="s">
        <v>178</v>
      </c>
      <c r="I19" s="8" t="s">
        <v>179</v>
      </c>
      <c r="J19" s="5" t="s">
        <v>180</v>
      </c>
      <c r="K19" s="8" t="s">
        <v>94</v>
      </c>
      <c r="L19" s="9" t="s">
        <v>95</v>
      </c>
      <c r="M19" s="10"/>
      <c r="N19" s="10"/>
      <c r="O19" s="10"/>
      <c r="P19" s="5" t="s">
        <v>102</v>
      </c>
    </row>
    <row r="20" customFormat="false" ht="41.75" hidden="false" customHeight="false" outlineLevel="0" collapsed="false">
      <c r="A20" s="5" t="n">
        <v>19</v>
      </c>
      <c r="B20" s="5" t="s">
        <v>87</v>
      </c>
      <c r="C20" s="5" t="n">
        <v>1</v>
      </c>
      <c r="D20" s="5" t="s">
        <v>12</v>
      </c>
      <c r="E20" s="5" t="s">
        <v>181</v>
      </c>
      <c r="F20" s="5" t="s">
        <v>182</v>
      </c>
      <c r="G20" s="5" t="s">
        <v>163</v>
      </c>
      <c r="H20" s="5" t="s">
        <v>183</v>
      </c>
      <c r="I20" s="8" t="s">
        <v>184</v>
      </c>
      <c r="J20" s="5" t="s">
        <v>185</v>
      </c>
      <c r="K20" s="8" t="s">
        <v>94</v>
      </c>
      <c r="L20" s="9" t="s">
        <v>95</v>
      </c>
      <c r="M20" s="10"/>
      <c r="N20" s="10"/>
      <c r="O20" s="10"/>
      <c r="P20" s="5" t="s">
        <v>102</v>
      </c>
    </row>
    <row r="21" customFormat="false" ht="28.35" hidden="false" customHeight="false" outlineLevel="0" collapsed="false">
      <c r="A21" s="5" t="n">
        <v>20</v>
      </c>
      <c r="B21" s="5" t="s">
        <v>87</v>
      </c>
      <c r="C21" s="5" t="n">
        <v>1</v>
      </c>
      <c r="D21" s="5" t="s">
        <v>12</v>
      </c>
      <c r="E21" s="5" t="s">
        <v>186</v>
      </c>
      <c r="F21" s="5" t="s">
        <v>187</v>
      </c>
      <c r="G21" s="5" t="s">
        <v>163</v>
      </c>
      <c r="H21" s="5" t="s">
        <v>188</v>
      </c>
      <c r="I21" s="5"/>
      <c r="J21" s="5"/>
      <c r="K21" s="8" t="s">
        <v>94</v>
      </c>
      <c r="L21" s="9" t="s">
        <v>95</v>
      </c>
      <c r="M21" s="10"/>
      <c r="N21" s="10"/>
      <c r="O21" s="10"/>
      <c r="P21" s="5" t="s">
        <v>112</v>
      </c>
    </row>
    <row r="22" customFormat="false" ht="41.75" hidden="false" customHeight="false" outlineLevel="0" collapsed="false">
      <c r="A22" s="5" t="n">
        <v>21</v>
      </c>
      <c r="B22" s="5" t="s">
        <v>87</v>
      </c>
      <c r="C22" s="5" t="n">
        <v>1</v>
      </c>
      <c r="D22" s="5" t="s">
        <v>13</v>
      </c>
      <c r="E22" s="5" t="s">
        <v>189</v>
      </c>
      <c r="F22" s="5" t="s">
        <v>190</v>
      </c>
      <c r="G22" s="5" t="s">
        <v>163</v>
      </c>
      <c r="H22" s="5" t="s">
        <v>191</v>
      </c>
      <c r="I22" s="8" t="s">
        <v>192</v>
      </c>
      <c r="J22" s="5" t="s">
        <v>193</v>
      </c>
      <c r="K22" s="8" t="s">
        <v>94</v>
      </c>
      <c r="L22" s="9" t="s">
        <v>95</v>
      </c>
      <c r="M22" s="10"/>
      <c r="N22" s="10"/>
      <c r="O22" s="10"/>
      <c r="P22" s="5" t="s">
        <v>96</v>
      </c>
    </row>
    <row r="23" customFormat="false" ht="41.75" hidden="false" customHeight="false" outlineLevel="0" collapsed="false">
      <c r="A23" s="5" t="n">
        <v>22</v>
      </c>
      <c r="B23" s="5" t="s">
        <v>87</v>
      </c>
      <c r="C23" s="5" t="n">
        <v>1</v>
      </c>
      <c r="D23" s="5" t="s">
        <v>14</v>
      </c>
      <c r="E23" s="5" t="s">
        <v>194</v>
      </c>
      <c r="F23" s="5" t="s">
        <v>195</v>
      </c>
      <c r="G23" s="5" t="s">
        <v>163</v>
      </c>
      <c r="H23" s="5" t="s">
        <v>196</v>
      </c>
      <c r="I23" s="8" t="s">
        <v>197</v>
      </c>
      <c r="J23" s="5" t="s">
        <v>198</v>
      </c>
      <c r="K23" s="8" t="s">
        <v>94</v>
      </c>
      <c r="L23" s="9" t="s">
        <v>95</v>
      </c>
      <c r="M23" s="10"/>
      <c r="N23" s="10"/>
      <c r="O23" s="10"/>
      <c r="P23" s="5" t="s">
        <v>96</v>
      </c>
    </row>
    <row r="24" customFormat="false" ht="41.75" hidden="false" customHeight="false" outlineLevel="0" collapsed="false">
      <c r="A24" s="5" t="n">
        <v>23</v>
      </c>
      <c r="B24" s="5" t="s">
        <v>87</v>
      </c>
      <c r="C24" s="5" t="n">
        <v>1</v>
      </c>
      <c r="D24" s="5" t="s">
        <v>15</v>
      </c>
      <c r="E24" s="5" t="s">
        <v>199</v>
      </c>
      <c r="F24" s="5" t="s">
        <v>200</v>
      </c>
      <c r="G24" s="5" t="s">
        <v>163</v>
      </c>
      <c r="H24" s="5" t="s">
        <v>201</v>
      </c>
      <c r="I24" s="8" t="s">
        <v>202</v>
      </c>
      <c r="J24" s="5" t="s">
        <v>203</v>
      </c>
      <c r="K24" s="8" t="s">
        <v>94</v>
      </c>
      <c r="L24" s="9" t="s">
        <v>95</v>
      </c>
      <c r="M24" s="10"/>
      <c r="N24" s="10"/>
      <c r="O24" s="10"/>
      <c r="P24" s="5" t="s">
        <v>96</v>
      </c>
    </row>
    <row r="25" customFormat="false" ht="41.75" hidden="false" customHeight="false" outlineLevel="0" collapsed="false">
      <c r="A25" s="5" t="n">
        <v>24</v>
      </c>
      <c r="B25" s="5" t="s">
        <v>87</v>
      </c>
      <c r="C25" s="5" t="n">
        <v>1</v>
      </c>
      <c r="D25" s="5" t="s">
        <v>12</v>
      </c>
      <c r="E25" s="5" t="s">
        <v>204</v>
      </c>
      <c r="F25" s="5" t="s">
        <v>205</v>
      </c>
      <c r="G25" s="5" t="s">
        <v>163</v>
      </c>
      <c r="H25" s="5" t="s">
        <v>206</v>
      </c>
      <c r="I25" s="8" t="s">
        <v>207</v>
      </c>
      <c r="J25" s="5" t="s">
        <v>208</v>
      </c>
      <c r="K25" s="8" t="s">
        <v>94</v>
      </c>
      <c r="L25" s="9" t="s">
        <v>95</v>
      </c>
      <c r="M25" s="10"/>
      <c r="N25" s="10"/>
      <c r="O25" s="10"/>
      <c r="P25" s="5" t="s">
        <v>96</v>
      </c>
    </row>
    <row r="26" customFormat="false" ht="55.2" hidden="false" customHeight="false" outlineLevel="0" collapsed="false">
      <c r="A26" s="5" t="n">
        <v>25</v>
      </c>
      <c r="B26" s="5" t="s">
        <v>87</v>
      </c>
      <c r="C26" s="5" t="n">
        <v>1</v>
      </c>
      <c r="D26" s="5" t="s">
        <v>12</v>
      </c>
      <c r="E26" s="5" t="s">
        <v>209</v>
      </c>
      <c r="F26" s="5" t="s">
        <v>210</v>
      </c>
      <c r="G26" s="5" t="s">
        <v>163</v>
      </c>
      <c r="H26" s="5" t="s">
        <v>211</v>
      </c>
      <c r="I26" s="8" t="s">
        <v>212</v>
      </c>
      <c r="J26" s="5" t="s">
        <v>213</v>
      </c>
      <c r="K26" s="8" t="s">
        <v>94</v>
      </c>
      <c r="L26" s="9" t="s">
        <v>95</v>
      </c>
      <c r="M26" s="10"/>
      <c r="N26" s="10"/>
      <c r="O26" s="10"/>
      <c r="P26" s="5" t="s">
        <v>96</v>
      </c>
    </row>
    <row r="27" customFormat="false" ht="55.2" hidden="false" customHeight="false" outlineLevel="0" collapsed="false">
      <c r="A27" s="5" t="n">
        <v>26</v>
      </c>
      <c r="B27" s="5" t="s">
        <v>87</v>
      </c>
      <c r="C27" s="5" t="n">
        <v>1</v>
      </c>
      <c r="D27" s="5" t="s">
        <v>13</v>
      </c>
      <c r="E27" s="5" t="s">
        <v>214</v>
      </c>
      <c r="F27" s="5" t="s">
        <v>215</v>
      </c>
      <c r="G27" s="5" t="s">
        <v>163</v>
      </c>
      <c r="H27" s="5" t="s">
        <v>216</v>
      </c>
      <c r="I27" s="8" t="s">
        <v>217</v>
      </c>
      <c r="J27" s="5" t="s">
        <v>218</v>
      </c>
      <c r="K27" s="8" t="s">
        <v>94</v>
      </c>
      <c r="L27" s="9" t="s">
        <v>95</v>
      </c>
      <c r="M27" s="10"/>
      <c r="N27" s="10"/>
      <c r="O27" s="10"/>
      <c r="P27" s="5" t="s">
        <v>96</v>
      </c>
    </row>
    <row r="28" customFormat="false" ht="15" hidden="false" customHeight="false" outlineLevel="0" collapsed="false">
      <c r="A28" s="5" t="n">
        <v>27</v>
      </c>
      <c r="B28" s="5" t="s">
        <v>87</v>
      </c>
      <c r="C28" s="5" t="n">
        <v>1</v>
      </c>
      <c r="D28" s="5" t="s">
        <v>12</v>
      </c>
      <c r="E28" s="5" t="s">
        <v>219</v>
      </c>
      <c r="F28" s="5" t="s">
        <v>220</v>
      </c>
      <c r="G28" s="5" t="s">
        <v>163</v>
      </c>
      <c r="H28" s="5" t="s">
        <v>221</v>
      </c>
      <c r="I28" s="5"/>
      <c r="J28" s="5"/>
      <c r="K28" s="8" t="s">
        <v>94</v>
      </c>
      <c r="L28" s="9" t="s">
        <v>95</v>
      </c>
      <c r="M28" s="10"/>
      <c r="N28" s="10"/>
      <c r="O28" s="10"/>
      <c r="P28" s="5" t="s">
        <v>112</v>
      </c>
    </row>
    <row r="29" customFormat="false" ht="41.75" hidden="false" customHeight="false" outlineLevel="0" collapsed="false">
      <c r="A29" s="5" t="n">
        <v>28</v>
      </c>
      <c r="B29" s="5" t="s">
        <v>87</v>
      </c>
      <c r="C29" s="5" t="n">
        <v>1</v>
      </c>
      <c r="D29" s="5" t="s">
        <v>12</v>
      </c>
      <c r="E29" s="5" t="s">
        <v>222</v>
      </c>
      <c r="F29" s="5" t="s">
        <v>182</v>
      </c>
      <c r="G29" s="5" t="s">
        <v>163</v>
      </c>
      <c r="H29" s="5" t="s">
        <v>223</v>
      </c>
      <c r="I29" s="8" t="s">
        <v>224</v>
      </c>
      <c r="J29" s="5" t="s">
        <v>225</v>
      </c>
      <c r="K29" s="8" t="s">
        <v>94</v>
      </c>
      <c r="L29" s="9" t="s">
        <v>95</v>
      </c>
      <c r="M29" s="10"/>
      <c r="N29" s="10"/>
      <c r="O29" s="10"/>
      <c r="P29" s="5" t="s">
        <v>96</v>
      </c>
    </row>
    <row r="30" customFormat="false" ht="41.75" hidden="false" customHeight="false" outlineLevel="0" collapsed="false">
      <c r="A30" s="5" t="n">
        <v>29</v>
      </c>
      <c r="B30" s="5" t="s">
        <v>87</v>
      </c>
      <c r="C30" s="5" t="n">
        <v>1</v>
      </c>
      <c r="D30" s="5" t="s">
        <v>10</v>
      </c>
      <c r="E30" s="5" t="s">
        <v>226</v>
      </c>
      <c r="F30" s="5" t="s">
        <v>227</v>
      </c>
      <c r="G30" s="5" t="s">
        <v>163</v>
      </c>
      <c r="H30" s="5" t="s">
        <v>228</v>
      </c>
      <c r="I30" s="8" t="s">
        <v>229</v>
      </c>
      <c r="J30" s="5" t="s">
        <v>230</v>
      </c>
      <c r="K30" s="8" t="s">
        <v>94</v>
      </c>
      <c r="L30" s="9" t="s">
        <v>95</v>
      </c>
      <c r="M30" s="10"/>
      <c r="N30" s="10"/>
      <c r="O30" s="10"/>
      <c r="P30" s="5" t="s">
        <v>102</v>
      </c>
    </row>
    <row r="31" customFormat="false" ht="41.75" hidden="false" customHeight="false" outlineLevel="0" collapsed="false">
      <c r="A31" s="5" t="n">
        <v>30</v>
      </c>
      <c r="B31" s="5" t="s">
        <v>87</v>
      </c>
      <c r="C31" s="5" t="n">
        <v>1</v>
      </c>
      <c r="D31" s="5" t="s">
        <v>12</v>
      </c>
      <c r="E31" s="5" t="s">
        <v>231</v>
      </c>
      <c r="F31" s="5" t="s">
        <v>232</v>
      </c>
      <c r="G31" s="5" t="s">
        <v>163</v>
      </c>
      <c r="H31" s="5" t="s">
        <v>233</v>
      </c>
      <c r="I31" s="8" t="s">
        <v>234</v>
      </c>
      <c r="J31" s="5" t="s">
        <v>235</v>
      </c>
      <c r="K31" s="8" t="s">
        <v>94</v>
      </c>
      <c r="L31" s="9" t="s">
        <v>95</v>
      </c>
      <c r="M31" s="10"/>
      <c r="N31" s="10"/>
      <c r="O31" s="10"/>
      <c r="P31" s="5" t="s">
        <v>96</v>
      </c>
    </row>
    <row r="32" customFormat="false" ht="55.2" hidden="false" customHeight="false" outlineLevel="0" collapsed="false">
      <c r="A32" s="5" t="n">
        <v>31</v>
      </c>
      <c r="B32" s="5" t="s">
        <v>87</v>
      </c>
      <c r="C32" s="5" t="n">
        <v>1</v>
      </c>
      <c r="D32" s="5" t="s">
        <v>14</v>
      </c>
      <c r="E32" s="5" t="s">
        <v>236</v>
      </c>
      <c r="F32" s="5" t="s">
        <v>237</v>
      </c>
      <c r="G32" s="5" t="s">
        <v>163</v>
      </c>
      <c r="H32" s="5" t="s">
        <v>238</v>
      </c>
      <c r="I32" s="8" t="s">
        <v>239</v>
      </c>
      <c r="J32" s="5" t="s">
        <v>240</v>
      </c>
      <c r="K32" s="8" t="s">
        <v>94</v>
      </c>
      <c r="L32" s="9" t="s">
        <v>95</v>
      </c>
      <c r="M32" s="10"/>
      <c r="N32" s="10"/>
      <c r="O32" s="10"/>
      <c r="P32" s="5" t="s">
        <v>102</v>
      </c>
    </row>
    <row r="33" customFormat="false" ht="41.75" hidden="false" customHeight="false" outlineLevel="0" collapsed="false">
      <c r="A33" s="5" t="n">
        <v>32</v>
      </c>
      <c r="B33" s="5" t="s">
        <v>87</v>
      </c>
      <c r="C33" s="5" t="n">
        <v>1</v>
      </c>
      <c r="D33" s="5" t="s">
        <v>14</v>
      </c>
      <c r="E33" s="5" t="s">
        <v>241</v>
      </c>
      <c r="F33" s="5" t="s">
        <v>242</v>
      </c>
      <c r="G33" s="5" t="s">
        <v>163</v>
      </c>
      <c r="H33" s="5" t="s">
        <v>243</v>
      </c>
      <c r="I33" s="8" t="s">
        <v>244</v>
      </c>
      <c r="J33" s="5" t="s">
        <v>245</v>
      </c>
      <c r="K33" s="8" t="s">
        <v>94</v>
      </c>
      <c r="L33" s="9" t="s">
        <v>95</v>
      </c>
      <c r="M33" s="10"/>
      <c r="N33" s="10"/>
      <c r="O33" s="10"/>
      <c r="P33" s="5" t="s">
        <v>96</v>
      </c>
    </row>
    <row r="34" customFormat="false" ht="15" hidden="false" customHeight="false" outlineLevel="0" collapsed="false">
      <c r="A34" s="5" t="n">
        <v>33</v>
      </c>
      <c r="B34" s="5" t="s">
        <v>87</v>
      </c>
      <c r="C34" s="5" t="n">
        <v>1</v>
      </c>
      <c r="D34" s="5" t="s">
        <v>12</v>
      </c>
      <c r="E34" s="5" t="s">
        <v>246</v>
      </c>
      <c r="F34" s="5" t="s">
        <v>247</v>
      </c>
      <c r="G34" s="5" t="s">
        <v>163</v>
      </c>
      <c r="H34" s="5" t="s">
        <v>248</v>
      </c>
      <c r="I34" s="5"/>
      <c r="J34" s="5"/>
      <c r="K34" s="8" t="s">
        <v>94</v>
      </c>
      <c r="L34" s="9" t="s">
        <v>95</v>
      </c>
      <c r="M34" s="10"/>
      <c r="N34" s="10"/>
      <c r="O34" s="10"/>
      <c r="P34" s="5" t="s">
        <v>112</v>
      </c>
    </row>
    <row r="35" customFormat="false" ht="41.75" hidden="false" customHeight="false" outlineLevel="0" collapsed="false">
      <c r="A35" s="5" t="n">
        <v>34</v>
      </c>
      <c r="B35" s="5" t="s">
        <v>87</v>
      </c>
      <c r="C35" s="5" t="n">
        <v>1</v>
      </c>
      <c r="D35" s="5" t="s">
        <v>14</v>
      </c>
      <c r="E35" s="5" t="s">
        <v>249</v>
      </c>
      <c r="F35" s="5" t="s">
        <v>250</v>
      </c>
      <c r="G35" s="5" t="s">
        <v>163</v>
      </c>
      <c r="H35" s="5" t="s">
        <v>251</v>
      </c>
      <c r="I35" s="8" t="s">
        <v>252</v>
      </c>
      <c r="J35" s="5" t="s">
        <v>253</v>
      </c>
      <c r="K35" s="8" t="s">
        <v>94</v>
      </c>
      <c r="L35" s="9" t="s">
        <v>95</v>
      </c>
      <c r="M35" s="10"/>
      <c r="N35" s="10"/>
      <c r="O35" s="10"/>
      <c r="P35" s="5" t="s">
        <v>102</v>
      </c>
    </row>
    <row r="36" customFormat="false" ht="15" hidden="false" customHeight="false" outlineLevel="0" collapsed="false">
      <c r="A36" s="5" t="n">
        <v>35</v>
      </c>
      <c r="B36" s="5" t="s">
        <v>87</v>
      </c>
      <c r="C36" s="5" t="n">
        <v>1</v>
      </c>
      <c r="D36" s="5" t="s">
        <v>12</v>
      </c>
      <c r="E36" s="5" t="s">
        <v>254</v>
      </c>
      <c r="F36" s="5" t="s">
        <v>255</v>
      </c>
      <c r="G36" s="5" t="s">
        <v>163</v>
      </c>
      <c r="H36" s="5" t="s">
        <v>256</v>
      </c>
      <c r="I36" s="5"/>
      <c r="J36" s="5"/>
      <c r="K36" s="8" t="s">
        <v>94</v>
      </c>
      <c r="L36" s="9" t="s">
        <v>95</v>
      </c>
      <c r="M36" s="10"/>
      <c r="N36" s="10"/>
      <c r="O36" s="10"/>
      <c r="P36" s="5" t="s">
        <v>112</v>
      </c>
    </row>
    <row r="37" customFormat="false" ht="41.75" hidden="false" customHeight="false" outlineLevel="0" collapsed="false">
      <c r="A37" s="5" t="n">
        <v>36</v>
      </c>
      <c r="B37" s="5" t="s">
        <v>87</v>
      </c>
      <c r="C37" s="5" t="n">
        <v>1</v>
      </c>
      <c r="D37" s="5" t="s">
        <v>13</v>
      </c>
      <c r="E37" s="5" t="s">
        <v>257</v>
      </c>
      <c r="F37" s="5" t="s">
        <v>258</v>
      </c>
      <c r="G37" s="5" t="s">
        <v>163</v>
      </c>
      <c r="H37" s="5" t="s">
        <v>259</v>
      </c>
      <c r="I37" s="8" t="s">
        <v>260</v>
      </c>
      <c r="J37" s="5" t="s">
        <v>261</v>
      </c>
      <c r="K37" s="8" t="s">
        <v>94</v>
      </c>
      <c r="L37" s="9" t="s">
        <v>95</v>
      </c>
      <c r="M37" s="10"/>
      <c r="N37" s="10"/>
      <c r="O37" s="10"/>
      <c r="P37" s="5" t="s">
        <v>102</v>
      </c>
    </row>
    <row r="38" customFormat="false" ht="41.75" hidden="false" customHeight="false" outlineLevel="0" collapsed="false">
      <c r="A38" s="5" t="n">
        <v>37</v>
      </c>
      <c r="B38" s="5" t="s">
        <v>87</v>
      </c>
      <c r="C38" s="5" t="n">
        <v>1</v>
      </c>
      <c r="D38" s="5" t="s">
        <v>13</v>
      </c>
      <c r="E38" s="5" t="s">
        <v>262</v>
      </c>
      <c r="F38" s="5" t="s">
        <v>263</v>
      </c>
      <c r="G38" s="5" t="s">
        <v>163</v>
      </c>
      <c r="H38" s="5" t="s">
        <v>264</v>
      </c>
      <c r="I38" s="8" t="s">
        <v>265</v>
      </c>
      <c r="J38" s="5" t="s">
        <v>266</v>
      </c>
      <c r="K38" s="8" t="s">
        <v>94</v>
      </c>
      <c r="L38" s="9" t="s">
        <v>95</v>
      </c>
      <c r="M38" s="10"/>
      <c r="N38" s="10"/>
      <c r="O38" s="10"/>
      <c r="P38" s="5" t="s">
        <v>102</v>
      </c>
    </row>
    <row r="39" customFormat="false" ht="41.75" hidden="false" customHeight="false" outlineLevel="0" collapsed="false">
      <c r="A39" s="5" t="n">
        <v>38</v>
      </c>
      <c r="B39" s="5" t="s">
        <v>87</v>
      </c>
      <c r="C39" s="5" t="n">
        <v>1</v>
      </c>
      <c r="D39" s="5" t="s">
        <v>12</v>
      </c>
      <c r="E39" s="5" t="s">
        <v>267</v>
      </c>
      <c r="F39" s="5" t="s">
        <v>268</v>
      </c>
      <c r="G39" s="5" t="s">
        <v>163</v>
      </c>
      <c r="H39" s="5" t="s">
        <v>269</v>
      </c>
      <c r="I39" s="8" t="s">
        <v>270</v>
      </c>
      <c r="J39" s="5"/>
      <c r="K39" s="8" t="s">
        <v>94</v>
      </c>
      <c r="L39" s="9" t="s">
        <v>95</v>
      </c>
      <c r="M39" s="10"/>
      <c r="N39" s="10"/>
      <c r="O39" s="10"/>
      <c r="P39" s="5" t="s">
        <v>96</v>
      </c>
    </row>
    <row r="40" customFormat="false" ht="55.2" hidden="false" customHeight="false" outlineLevel="0" collapsed="false">
      <c r="A40" s="5" t="n">
        <v>39</v>
      </c>
      <c r="B40" s="5" t="s">
        <v>87</v>
      </c>
      <c r="C40" s="5" t="n">
        <v>1</v>
      </c>
      <c r="D40" s="5" t="s">
        <v>20</v>
      </c>
      <c r="E40" s="5" t="s">
        <v>271</v>
      </c>
      <c r="F40" s="5" t="s">
        <v>272</v>
      </c>
      <c r="G40" s="5" t="s">
        <v>163</v>
      </c>
      <c r="H40" s="5" t="s">
        <v>273</v>
      </c>
      <c r="I40" s="8" t="s">
        <v>274</v>
      </c>
      <c r="J40" s="5" t="s">
        <v>275</v>
      </c>
      <c r="K40" s="8" t="s">
        <v>94</v>
      </c>
      <c r="L40" s="9" t="s">
        <v>95</v>
      </c>
      <c r="M40" s="10"/>
      <c r="N40" s="10"/>
      <c r="O40" s="10"/>
      <c r="P40" s="5" t="s">
        <v>96</v>
      </c>
    </row>
    <row r="41" customFormat="false" ht="55.2" hidden="false" customHeight="false" outlineLevel="0" collapsed="false">
      <c r="A41" s="5" t="n">
        <v>40</v>
      </c>
      <c r="B41" s="5" t="s">
        <v>87</v>
      </c>
      <c r="C41" s="5" t="n">
        <v>1</v>
      </c>
      <c r="D41" s="5" t="s">
        <v>13</v>
      </c>
      <c r="E41" s="5" t="s">
        <v>276</v>
      </c>
      <c r="F41" s="5" t="s">
        <v>277</v>
      </c>
      <c r="G41" s="5" t="s">
        <v>163</v>
      </c>
      <c r="H41" s="5" t="s">
        <v>278</v>
      </c>
      <c r="I41" s="5"/>
      <c r="J41" s="5"/>
      <c r="K41" s="8" t="s">
        <v>94</v>
      </c>
      <c r="L41" s="9" t="s">
        <v>95</v>
      </c>
      <c r="M41" s="10"/>
      <c r="N41" s="10"/>
      <c r="O41" s="10"/>
      <c r="P41" s="5" t="s">
        <v>96</v>
      </c>
    </row>
    <row r="42" customFormat="false" ht="41.75" hidden="false" customHeight="false" outlineLevel="0" collapsed="false">
      <c r="A42" s="5" t="n">
        <v>41</v>
      </c>
      <c r="B42" s="5" t="s">
        <v>87</v>
      </c>
      <c r="C42" s="5" t="n">
        <v>1</v>
      </c>
      <c r="D42" s="5" t="s">
        <v>12</v>
      </c>
      <c r="E42" s="5" t="s">
        <v>279</v>
      </c>
      <c r="F42" s="5" t="s">
        <v>280</v>
      </c>
      <c r="G42" s="5" t="s">
        <v>163</v>
      </c>
      <c r="H42" s="5" t="s">
        <v>281</v>
      </c>
      <c r="I42" s="8" t="s">
        <v>282</v>
      </c>
      <c r="J42" s="5"/>
      <c r="K42" s="8" t="s">
        <v>94</v>
      </c>
      <c r="L42" s="9" t="s">
        <v>95</v>
      </c>
      <c r="M42" s="10"/>
      <c r="N42" s="10"/>
      <c r="O42" s="10"/>
      <c r="P42" s="5" t="s">
        <v>96</v>
      </c>
    </row>
    <row r="43" customFormat="false" ht="41.75" hidden="false" customHeight="false" outlineLevel="0" collapsed="false">
      <c r="A43" s="5" t="n">
        <v>42</v>
      </c>
      <c r="B43" s="5" t="s">
        <v>87</v>
      </c>
      <c r="C43" s="5" t="n">
        <v>1</v>
      </c>
      <c r="D43" s="5" t="s">
        <v>10</v>
      </c>
      <c r="E43" s="5" t="s">
        <v>283</v>
      </c>
      <c r="F43" s="5" t="s">
        <v>284</v>
      </c>
      <c r="G43" s="5" t="s">
        <v>163</v>
      </c>
      <c r="H43" s="5" t="s">
        <v>285</v>
      </c>
      <c r="I43" s="8" t="s">
        <v>286</v>
      </c>
      <c r="J43" s="5" t="s">
        <v>287</v>
      </c>
      <c r="K43" s="8" t="s">
        <v>94</v>
      </c>
      <c r="L43" s="9" t="s">
        <v>95</v>
      </c>
      <c r="M43" s="10"/>
      <c r="N43" s="10"/>
      <c r="O43" s="10"/>
      <c r="P43" s="5" t="s">
        <v>102</v>
      </c>
    </row>
    <row r="44" customFormat="false" ht="41.75" hidden="false" customHeight="false" outlineLevel="0" collapsed="false">
      <c r="A44" s="5" t="n">
        <v>43</v>
      </c>
      <c r="B44" s="5" t="s">
        <v>87</v>
      </c>
      <c r="C44" s="5" t="n">
        <v>1</v>
      </c>
      <c r="D44" s="5" t="s">
        <v>12</v>
      </c>
      <c r="E44" s="5" t="s">
        <v>288</v>
      </c>
      <c r="F44" s="5" t="s">
        <v>289</v>
      </c>
      <c r="G44" s="5" t="s">
        <v>163</v>
      </c>
      <c r="H44" s="5" t="s">
        <v>290</v>
      </c>
      <c r="I44" s="8" t="s">
        <v>291</v>
      </c>
      <c r="J44" s="5" t="s">
        <v>292</v>
      </c>
      <c r="K44" s="8" t="s">
        <v>94</v>
      </c>
      <c r="L44" s="9" t="s">
        <v>95</v>
      </c>
      <c r="M44" s="10"/>
      <c r="N44" s="10"/>
      <c r="O44" s="10"/>
      <c r="P44" s="5" t="s">
        <v>102</v>
      </c>
    </row>
    <row r="45" customFormat="false" ht="15" hidden="false" customHeight="false" outlineLevel="0" collapsed="false">
      <c r="A45" s="5" t="n">
        <v>44</v>
      </c>
      <c r="B45" s="5" t="s">
        <v>87</v>
      </c>
      <c r="C45" s="5" t="n">
        <v>2</v>
      </c>
      <c r="D45" s="5" t="s">
        <v>10</v>
      </c>
      <c r="E45" s="5" t="s">
        <v>293</v>
      </c>
      <c r="F45" s="5" t="s">
        <v>294</v>
      </c>
      <c r="G45" s="5" t="s">
        <v>90</v>
      </c>
      <c r="H45" s="5" t="s">
        <v>295</v>
      </c>
      <c r="I45" s="5"/>
      <c r="J45" s="5"/>
      <c r="K45" s="8" t="s">
        <v>94</v>
      </c>
      <c r="L45" s="9" t="s">
        <v>95</v>
      </c>
      <c r="M45" s="10"/>
      <c r="N45" s="10"/>
      <c r="O45" s="10"/>
      <c r="P45" s="5" t="s">
        <v>112</v>
      </c>
    </row>
    <row r="46" customFormat="false" ht="55.2" hidden="false" customHeight="false" outlineLevel="0" collapsed="false">
      <c r="A46" s="5" t="n">
        <v>45</v>
      </c>
      <c r="B46" s="5" t="s">
        <v>87</v>
      </c>
      <c r="C46" s="5" t="n">
        <v>2</v>
      </c>
      <c r="D46" s="5" t="s">
        <v>16</v>
      </c>
      <c r="E46" s="5" t="s">
        <v>296</v>
      </c>
      <c r="F46" s="5" t="s">
        <v>297</v>
      </c>
      <c r="G46" s="5" t="s">
        <v>90</v>
      </c>
      <c r="H46" s="5" t="s">
        <v>298</v>
      </c>
      <c r="I46" s="8" t="s">
        <v>299</v>
      </c>
      <c r="J46" s="5" t="s">
        <v>300</v>
      </c>
      <c r="K46" s="8" t="s">
        <v>94</v>
      </c>
      <c r="L46" s="9" t="s">
        <v>95</v>
      </c>
      <c r="M46" s="10"/>
      <c r="N46" s="10"/>
      <c r="O46" s="10"/>
      <c r="P46" s="5" t="s">
        <v>96</v>
      </c>
    </row>
    <row r="47" customFormat="false" ht="41.75" hidden="false" customHeight="false" outlineLevel="0" collapsed="false">
      <c r="A47" s="5" t="n">
        <v>46</v>
      </c>
      <c r="B47" s="5" t="s">
        <v>87</v>
      </c>
      <c r="C47" s="5" t="n">
        <v>2</v>
      </c>
      <c r="D47" s="5" t="s">
        <v>18</v>
      </c>
      <c r="E47" s="5" t="s">
        <v>301</v>
      </c>
      <c r="F47" s="5" t="s">
        <v>129</v>
      </c>
      <c r="G47" s="5" t="s">
        <v>90</v>
      </c>
      <c r="H47" s="5" t="s">
        <v>302</v>
      </c>
      <c r="I47" s="8" t="s">
        <v>303</v>
      </c>
      <c r="J47" s="5" t="s">
        <v>304</v>
      </c>
      <c r="K47" s="8" t="s">
        <v>94</v>
      </c>
      <c r="L47" s="9" t="s">
        <v>95</v>
      </c>
      <c r="M47" s="10"/>
      <c r="N47" s="10"/>
      <c r="O47" s="10"/>
      <c r="P47" s="5" t="s">
        <v>102</v>
      </c>
    </row>
    <row r="48" customFormat="false" ht="41.75" hidden="false" customHeight="false" outlineLevel="0" collapsed="false">
      <c r="A48" s="5" t="n">
        <v>47</v>
      </c>
      <c r="B48" s="5" t="s">
        <v>87</v>
      </c>
      <c r="C48" s="5" t="n">
        <v>2</v>
      </c>
      <c r="D48" s="5" t="s">
        <v>16</v>
      </c>
      <c r="E48" s="5" t="s">
        <v>305</v>
      </c>
      <c r="F48" s="5" t="s">
        <v>306</v>
      </c>
      <c r="G48" s="5" t="s">
        <v>90</v>
      </c>
      <c r="H48" s="5" t="s">
        <v>307</v>
      </c>
      <c r="I48" s="8" t="s">
        <v>308</v>
      </c>
      <c r="J48" s="5" t="s">
        <v>309</v>
      </c>
      <c r="K48" s="8" t="s">
        <v>94</v>
      </c>
      <c r="L48" s="9" t="s">
        <v>95</v>
      </c>
      <c r="M48" s="10"/>
      <c r="N48" s="10"/>
      <c r="O48" s="10"/>
      <c r="P48" s="5" t="s">
        <v>96</v>
      </c>
    </row>
    <row r="49" customFormat="false" ht="41.75" hidden="false" customHeight="false" outlineLevel="0" collapsed="false">
      <c r="A49" s="5" t="n">
        <v>48</v>
      </c>
      <c r="B49" s="5" t="s">
        <v>87</v>
      </c>
      <c r="C49" s="5" t="n">
        <v>2</v>
      </c>
      <c r="D49" s="5" t="s">
        <v>23</v>
      </c>
      <c r="E49" s="5" t="s">
        <v>310</v>
      </c>
      <c r="F49" s="5" t="s">
        <v>311</v>
      </c>
      <c r="G49" s="5" t="s">
        <v>90</v>
      </c>
      <c r="H49" s="5" t="s">
        <v>312</v>
      </c>
      <c r="I49" s="8" t="s">
        <v>313</v>
      </c>
      <c r="J49" s="5" t="s">
        <v>314</v>
      </c>
      <c r="K49" s="8" t="s">
        <v>94</v>
      </c>
      <c r="L49" s="9" t="s">
        <v>95</v>
      </c>
      <c r="M49" s="10"/>
      <c r="N49" s="10"/>
      <c r="O49" s="10"/>
      <c r="P49" s="5" t="s">
        <v>102</v>
      </c>
    </row>
    <row r="50" customFormat="false" ht="41.75" hidden="false" customHeight="false" outlineLevel="0" collapsed="false">
      <c r="A50" s="5" t="n">
        <v>49</v>
      </c>
      <c r="B50" s="5" t="s">
        <v>87</v>
      </c>
      <c r="C50" s="5" t="n">
        <v>2</v>
      </c>
      <c r="D50" s="5" t="s">
        <v>14</v>
      </c>
      <c r="E50" s="5" t="s">
        <v>315</v>
      </c>
      <c r="F50" s="5" t="s">
        <v>316</v>
      </c>
      <c r="G50" s="5" t="s">
        <v>90</v>
      </c>
      <c r="H50" s="5" t="s">
        <v>317</v>
      </c>
      <c r="I50" s="8" t="s">
        <v>318</v>
      </c>
      <c r="J50" s="5" t="s">
        <v>319</v>
      </c>
      <c r="K50" s="8" t="s">
        <v>94</v>
      </c>
      <c r="L50" s="9" t="s">
        <v>95</v>
      </c>
      <c r="M50" s="10"/>
      <c r="N50" s="10"/>
      <c r="O50" s="10"/>
      <c r="P50" s="5" t="s">
        <v>102</v>
      </c>
    </row>
    <row r="51" customFormat="false" ht="41.75" hidden="false" customHeight="false" outlineLevel="0" collapsed="false">
      <c r="A51" s="5" t="n">
        <v>50</v>
      </c>
      <c r="B51" s="5" t="s">
        <v>87</v>
      </c>
      <c r="C51" s="5" t="n">
        <v>2</v>
      </c>
      <c r="D51" s="5" t="s">
        <v>10</v>
      </c>
      <c r="E51" s="5" t="s">
        <v>320</v>
      </c>
      <c r="F51" s="5" t="s">
        <v>321</v>
      </c>
      <c r="G51" s="5" t="s">
        <v>90</v>
      </c>
      <c r="H51" s="5" t="s">
        <v>322</v>
      </c>
      <c r="I51" s="8" t="s">
        <v>323</v>
      </c>
      <c r="J51" s="5" t="s">
        <v>324</v>
      </c>
      <c r="K51" s="8" t="s">
        <v>94</v>
      </c>
      <c r="L51" s="9" t="s">
        <v>95</v>
      </c>
      <c r="M51" s="10"/>
      <c r="N51" s="10"/>
      <c r="O51" s="10"/>
      <c r="P51" s="5" t="s">
        <v>102</v>
      </c>
    </row>
    <row r="52" customFormat="false" ht="55.2" hidden="false" customHeight="false" outlineLevel="0" collapsed="false">
      <c r="A52" s="5" t="n">
        <v>51</v>
      </c>
      <c r="B52" s="5" t="s">
        <v>87</v>
      </c>
      <c r="C52" s="5" t="n">
        <v>2</v>
      </c>
      <c r="D52" s="5" t="s">
        <v>10</v>
      </c>
      <c r="E52" s="5" t="s">
        <v>325</v>
      </c>
      <c r="F52" s="5" t="s">
        <v>326</v>
      </c>
      <c r="G52" s="5" t="s">
        <v>90</v>
      </c>
      <c r="H52" s="5" t="s">
        <v>327</v>
      </c>
      <c r="I52" s="5"/>
      <c r="J52" s="5" t="s">
        <v>328</v>
      </c>
      <c r="K52" s="8" t="s">
        <v>94</v>
      </c>
      <c r="L52" s="9" t="s">
        <v>95</v>
      </c>
      <c r="M52" s="10"/>
      <c r="N52" s="10"/>
      <c r="O52" s="10"/>
      <c r="P52" s="5" t="s">
        <v>96</v>
      </c>
    </row>
    <row r="53" customFormat="false" ht="68.65" hidden="false" customHeight="false" outlineLevel="0" collapsed="false">
      <c r="A53" s="5" t="n">
        <v>52</v>
      </c>
      <c r="B53" s="5" t="s">
        <v>87</v>
      </c>
      <c r="C53" s="5" t="n">
        <v>2</v>
      </c>
      <c r="D53" s="5" t="s">
        <v>19</v>
      </c>
      <c r="E53" s="5" t="s">
        <v>329</v>
      </c>
      <c r="F53" s="5" t="s">
        <v>330</v>
      </c>
      <c r="G53" s="5" t="s">
        <v>90</v>
      </c>
      <c r="H53" s="5" t="s">
        <v>331</v>
      </c>
      <c r="I53" s="8" t="s">
        <v>332</v>
      </c>
      <c r="J53" s="5" t="s">
        <v>333</v>
      </c>
      <c r="K53" s="8" t="s">
        <v>94</v>
      </c>
      <c r="L53" s="9" t="s">
        <v>95</v>
      </c>
      <c r="M53" s="10"/>
      <c r="N53" s="10"/>
      <c r="O53" s="10"/>
      <c r="P53" s="5" t="s">
        <v>96</v>
      </c>
    </row>
    <row r="54" customFormat="false" ht="41.75" hidden="false" customHeight="false" outlineLevel="0" collapsed="false">
      <c r="A54" s="5" t="n">
        <v>53</v>
      </c>
      <c r="B54" s="5" t="s">
        <v>87</v>
      </c>
      <c r="C54" s="5" t="n">
        <v>2</v>
      </c>
      <c r="D54" s="5" t="s">
        <v>12</v>
      </c>
      <c r="E54" s="5" t="s">
        <v>334</v>
      </c>
      <c r="F54" s="5" t="s">
        <v>335</v>
      </c>
      <c r="G54" s="5" t="s">
        <v>90</v>
      </c>
      <c r="H54" s="5" t="s">
        <v>336</v>
      </c>
      <c r="I54" s="5"/>
      <c r="J54" s="5" t="s">
        <v>337</v>
      </c>
      <c r="K54" s="8" t="s">
        <v>94</v>
      </c>
      <c r="L54" s="9" t="s">
        <v>95</v>
      </c>
      <c r="M54" s="10"/>
      <c r="N54" s="10"/>
      <c r="O54" s="10"/>
      <c r="P54" s="5" t="s">
        <v>96</v>
      </c>
    </row>
    <row r="55" customFormat="false" ht="41.75" hidden="false" customHeight="false" outlineLevel="0" collapsed="false">
      <c r="A55" s="5" t="n">
        <v>54</v>
      </c>
      <c r="B55" s="5" t="s">
        <v>87</v>
      </c>
      <c r="C55" s="5" t="n">
        <v>2</v>
      </c>
      <c r="D55" s="5" t="s">
        <v>11</v>
      </c>
      <c r="E55" s="5" t="s">
        <v>338</v>
      </c>
      <c r="F55" s="5" t="s">
        <v>339</v>
      </c>
      <c r="G55" s="5" t="s">
        <v>90</v>
      </c>
      <c r="H55" s="5" t="s">
        <v>340</v>
      </c>
      <c r="I55" s="8" t="s">
        <v>341</v>
      </c>
      <c r="J55" s="5" t="s">
        <v>342</v>
      </c>
      <c r="K55" s="8" t="s">
        <v>94</v>
      </c>
      <c r="L55" s="9" t="s">
        <v>95</v>
      </c>
      <c r="M55" s="10"/>
      <c r="N55" s="10"/>
      <c r="O55" s="10"/>
      <c r="P55" s="5" t="s">
        <v>102</v>
      </c>
    </row>
    <row r="56" customFormat="false" ht="41.75" hidden="false" customHeight="false" outlineLevel="0" collapsed="false">
      <c r="A56" s="5" t="n">
        <v>55</v>
      </c>
      <c r="B56" s="5" t="s">
        <v>87</v>
      </c>
      <c r="C56" s="5" t="n">
        <v>2</v>
      </c>
      <c r="D56" s="5" t="s">
        <v>10</v>
      </c>
      <c r="E56" s="5" t="s">
        <v>343</v>
      </c>
      <c r="F56" s="5" t="s">
        <v>344</v>
      </c>
      <c r="G56" s="5" t="s">
        <v>90</v>
      </c>
      <c r="H56" s="5" t="s">
        <v>345</v>
      </c>
      <c r="I56" s="5"/>
      <c r="J56" s="5" t="s">
        <v>346</v>
      </c>
      <c r="K56" s="8" t="s">
        <v>94</v>
      </c>
      <c r="L56" s="9" t="s">
        <v>95</v>
      </c>
      <c r="M56" s="10"/>
      <c r="N56" s="10"/>
      <c r="O56" s="10"/>
      <c r="P56" s="5" t="s">
        <v>96</v>
      </c>
    </row>
    <row r="57" customFormat="false" ht="41.75" hidden="false" customHeight="false" outlineLevel="0" collapsed="false">
      <c r="A57" s="5" t="n">
        <v>56</v>
      </c>
      <c r="B57" s="5" t="s">
        <v>87</v>
      </c>
      <c r="C57" s="5" t="n">
        <v>2</v>
      </c>
      <c r="D57" s="5" t="s">
        <v>20</v>
      </c>
      <c r="E57" s="5" t="s">
        <v>347</v>
      </c>
      <c r="F57" s="5" t="s">
        <v>348</v>
      </c>
      <c r="G57" s="5" t="s">
        <v>90</v>
      </c>
      <c r="H57" s="5" t="s">
        <v>349</v>
      </c>
      <c r="I57" s="5"/>
      <c r="J57" s="5" t="s">
        <v>350</v>
      </c>
      <c r="K57" s="8" t="s">
        <v>94</v>
      </c>
      <c r="L57" s="9" t="s">
        <v>95</v>
      </c>
      <c r="M57" s="10"/>
      <c r="N57" s="10"/>
      <c r="O57" s="10"/>
      <c r="P57" s="5" t="s">
        <v>96</v>
      </c>
    </row>
    <row r="58" customFormat="false" ht="55.2" hidden="false" customHeight="false" outlineLevel="0" collapsed="false">
      <c r="A58" s="5" t="n">
        <v>57</v>
      </c>
      <c r="B58" s="5" t="s">
        <v>87</v>
      </c>
      <c r="C58" s="5" t="n">
        <v>2</v>
      </c>
      <c r="D58" s="5" t="s">
        <v>21</v>
      </c>
      <c r="E58" s="5" t="s">
        <v>351</v>
      </c>
      <c r="F58" s="5" t="s">
        <v>352</v>
      </c>
      <c r="G58" s="5" t="s">
        <v>90</v>
      </c>
      <c r="H58" s="5" t="s">
        <v>353</v>
      </c>
      <c r="I58" s="8" t="s">
        <v>354</v>
      </c>
      <c r="J58" s="5" t="s">
        <v>355</v>
      </c>
      <c r="K58" s="8" t="s">
        <v>94</v>
      </c>
      <c r="L58" s="9" t="s">
        <v>95</v>
      </c>
      <c r="M58" s="10"/>
      <c r="N58" s="10"/>
      <c r="O58" s="10"/>
      <c r="P58" s="5" t="s">
        <v>102</v>
      </c>
    </row>
    <row r="59" customFormat="false" ht="55.2" hidden="false" customHeight="false" outlineLevel="0" collapsed="false">
      <c r="A59" s="5" t="n">
        <v>58</v>
      </c>
      <c r="B59" s="5" t="s">
        <v>87</v>
      </c>
      <c r="C59" s="5" t="n">
        <v>2</v>
      </c>
      <c r="D59" s="5" t="s">
        <v>11</v>
      </c>
      <c r="E59" s="5" t="s">
        <v>356</v>
      </c>
      <c r="F59" s="5" t="s">
        <v>344</v>
      </c>
      <c r="G59" s="5" t="s">
        <v>90</v>
      </c>
      <c r="H59" s="5" t="s">
        <v>357</v>
      </c>
      <c r="I59" s="8" t="s">
        <v>358</v>
      </c>
      <c r="J59" s="5" t="s">
        <v>359</v>
      </c>
      <c r="K59" s="8" t="s">
        <v>94</v>
      </c>
      <c r="L59" s="9" t="s">
        <v>95</v>
      </c>
      <c r="M59" s="10"/>
      <c r="N59" s="10"/>
      <c r="O59" s="10"/>
      <c r="P59" s="5" t="s">
        <v>102</v>
      </c>
    </row>
    <row r="60" customFormat="false" ht="28.35" hidden="false" customHeight="false" outlineLevel="0" collapsed="false">
      <c r="A60" s="5" t="n">
        <v>59</v>
      </c>
      <c r="B60" s="5" t="s">
        <v>87</v>
      </c>
      <c r="C60" s="5" t="n">
        <v>2</v>
      </c>
      <c r="D60" s="5" t="s">
        <v>25</v>
      </c>
      <c r="E60" s="5" t="s">
        <v>360</v>
      </c>
      <c r="F60" s="5" t="s">
        <v>361</v>
      </c>
      <c r="G60" s="5" t="s">
        <v>90</v>
      </c>
      <c r="H60" s="5" t="s">
        <v>362</v>
      </c>
      <c r="I60" s="5"/>
      <c r="J60" s="5"/>
      <c r="K60" s="8" t="s">
        <v>94</v>
      </c>
      <c r="L60" s="9" t="s">
        <v>95</v>
      </c>
      <c r="M60" s="10"/>
      <c r="N60" s="10"/>
      <c r="O60" s="10"/>
      <c r="P60" s="5" t="s">
        <v>112</v>
      </c>
    </row>
    <row r="61" customFormat="false" ht="41.75" hidden="false" customHeight="false" outlineLevel="0" collapsed="false">
      <c r="A61" s="5" t="n">
        <v>60</v>
      </c>
      <c r="B61" s="5" t="s">
        <v>87</v>
      </c>
      <c r="C61" s="5" t="n">
        <v>2</v>
      </c>
      <c r="D61" s="5" t="s">
        <v>13</v>
      </c>
      <c r="E61" s="5" t="s">
        <v>363</v>
      </c>
      <c r="F61" s="5" t="s">
        <v>364</v>
      </c>
      <c r="G61" s="5" t="s">
        <v>90</v>
      </c>
      <c r="H61" s="5" t="s">
        <v>365</v>
      </c>
      <c r="I61" s="5"/>
      <c r="J61" s="5" t="s">
        <v>366</v>
      </c>
      <c r="K61" s="8" t="s">
        <v>94</v>
      </c>
      <c r="L61" s="9" t="s">
        <v>95</v>
      </c>
      <c r="M61" s="10"/>
      <c r="N61" s="10"/>
      <c r="O61" s="10"/>
      <c r="P61" s="5" t="s">
        <v>96</v>
      </c>
    </row>
    <row r="62" customFormat="false" ht="41.75" hidden="false" customHeight="false" outlineLevel="0" collapsed="false">
      <c r="A62" s="5" t="n">
        <v>61</v>
      </c>
      <c r="B62" s="5" t="s">
        <v>87</v>
      </c>
      <c r="C62" s="5" t="n">
        <v>2</v>
      </c>
      <c r="D62" s="5" t="s">
        <v>13</v>
      </c>
      <c r="E62" s="5" t="s">
        <v>367</v>
      </c>
      <c r="F62" s="5" t="s">
        <v>368</v>
      </c>
      <c r="G62" s="5" t="s">
        <v>90</v>
      </c>
      <c r="H62" s="5" t="s">
        <v>369</v>
      </c>
      <c r="I62" s="8" t="s">
        <v>370</v>
      </c>
      <c r="J62" s="5"/>
      <c r="K62" s="8" t="s">
        <v>94</v>
      </c>
      <c r="L62" s="9" t="s">
        <v>95</v>
      </c>
      <c r="M62" s="10"/>
      <c r="N62" s="10"/>
      <c r="O62" s="10"/>
      <c r="P62" s="5" t="s">
        <v>102</v>
      </c>
    </row>
    <row r="63" customFormat="false" ht="41.75" hidden="false" customHeight="false" outlineLevel="0" collapsed="false">
      <c r="A63" s="5" t="n">
        <v>62</v>
      </c>
      <c r="B63" s="5" t="s">
        <v>87</v>
      </c>
      <c r="C63" s="5" t="n">
        <v>2</v>
      </c>
      <c r="D63" s="5" t="s">
        <v>14</v>
      </c>
      <c r="E63" s="5" t="s">
        <v>371</v>
      </c>
      <c r="F63" s="5" t="s">
        <v>372</v>
      </c>
      <c r="G63" s="5" t="s">
        <v>90</v>
      </c>
      <c r="H63" s="5" t="s">
        <v>373</v>
      </c>
      <c r="I63" s="5"/>
      <c r="J63" s="5" t="s">
        <v>374</v>
      </c>
      <c r="K63" s="8" t="s">
        <v>94</v>
      </c>
      <c r="L63" s="9" t="s">
        <v>95</v>
      </c>
      <c r="M63" s="10"/>
      <c r="N63" s="10"/>
      <c r="O63" s="10"/>
      <c r="P63" s="5" t="s">
        <v>96</v>
      </c>
    </row>
    <row r="64" customFormat="false" ht="28.35" hidden="false" customHeight="false" outlineLevel="0" collapsed="false">
      <c r="A64" s="5" t="n">
        <v>63</v>
      </c>
      <c r="B64" s="5" t="s">
        <v>87</v>
      </c>
      <c r="C64" s="5" t="n">
        <v>2</v>
      </c>
      <c r="D64" s="5" t="s">
        <v>15</v>
      </c>
      <c r="E64" s="5" t="s">
        <v>375</v>
      </c>
      <c r="F64" s="5" t="s">
        <v>119</v>
      </c>
      <c r="G64" s="5" t="s">
        <v>90</v>
      </c>
      <c r="H64" s="5" t="s">
        <v>376</v>
      </c>
      <c r="I64" s="5"/>
      <c r="J64" s="5"/>
      <c r="K64" s="8" t="s">
        <v>94</v>
      </c>
      <c r="L64" s="9" t="s">
        <v>95</v>
      </c>
      <c r="M64" s="10"/>
      <c r="N64" s="10"/>
      <c r="O64" s="10"/>
      <c r="P64" s="5" t="s">
        <v>112</v>
      </c>
    </row>
    <row r="65" customFormat="false" ht="41.75" hidden="false" customHeight="false" outlineLevel="0" collapsed="false">
      <c r="A65" s="5" t="n">
        <v>64</v>
      </c>
      <c r="B65" s="5" t="s">
        <v>87</v>
      </c>
      <c r="C65" s="5" t="n">
        <v>2</v>
      </c>
      <c r="D65" s="5" t="s">
        <v>13</v>
      </c>
      <c r="E65" s="5" t="s">
        <v>377</v>
      </c>
      <c r="F65" s="5" t="s">
        <v>378</v>
      </c>
      <c r="G65" s="5" t="s">
        <v>90</v>
      </c>
      <c r="H65" s="5" t="s">
        <v>379</v>
      </c>
      <c r="I65" s="8" t="s">
        <v>380</v>
      </c>
      <c r="J65" s="5" t="s">
        <v>381</v>
      </c>
      <c r="K65" s="8" t="s">
        <v>94</v>
      </c>
      <c r="L65" s="9" t="s">
        <v>95</v>
      </c>
      <c r="M65" s="10"/>
      <c r="N65" s="10"/>
      <c r="O65" s="10"/>
      <c r="P65" s="5" t="s">
        <v>96</v>
      </c>
    </row>
    <row r="66" customFormat="false" ht="55.2" hidden="false" customHeight="false" outlineLevel="0" collapsed="false">
      <c r="A66" s="5" t="n">
        <v>65</v>
      </c>
      <c r="B66" s="5" t="s">
        <v>87</v>
      </c>
      <c r="C66" s="5" t="n">
        <v>2</v>
      </c>
      <c r="D66" s="5" t="s">
        <v>10</v>
      </c>
      <c r="E66" s="5" t="s">
        <v>382</v>
      </c>
      <c r="F66" s="5" t="s">
        <v>383</v>
      </c>
      <c r="G66" s="5" t="s">
        <v>90</v>
      </c>
      <c r="H66" s="5" t="s">
        <v>384</v>
      </c>
      <c r="I66" s="8" t="s">
        <v>385</v>
      </c>
      <c r="J66" s="5" t="s">
        <v>386</v>
      </c>
      <c r="K66" s="8" t="s">
        <v>94</v>
      </c>
      <c r="L66" s="9" t="s">
        <v>95</v>
      </c>
      <c r="M66" s="10"/>
      <c r="N66" s="10"/>
      <c r="O66" s="10"/>
      <c r="P66" s="5" t="s">
        <v>96</v>
      </c>
    </row>
    <row r="67" customFormat="false" ht="15" hidden="false" customHeight="false" outlineLevel="0" collapsed="false">
      <c r="A67" s="5" t="n">
        <v>66</v>
      </c>
      <c r="B67" s="5" t="s">
        <v>87</v>
      </c>
      <c r="C67" s="5" t="n">
        <v>2</v>
      </c>
      <c r="D67" s="5" t="s">
        <v>10</v>
      </c>
      <c r="E67" s="5" t="s">
        <v>387</v>
      </c>
      <c r="F67" s="5" t="s">
        <v>388</v>
      </c>
      <c r="G67" s="5" t="s">
        <v>90</v>
      </c>
      <c r="H67" s="5" t="s">
        <v>389</v>
      </c>
      <c r="I67" s="5"/>
      <c r="J67" s="5"/>
      <c r="K67" s="8" t="s">
        <v>94</v>
      </c>
      <c r="L67" s="9" t="s">
        <v>95</v>
      </c>
      <c r="M67" s="10"/>
      <c r="N67" s="10"/>
      <c r="O67" s="10"/>
      <c r="P67" s="5" t="s">
        <v>112</v>
      </c>
    </row>
    <row r="68" customFormat="false" ht="41.75" hidden="false" customHeight="false" outlineLevel="0" collapsed="false">
      <c r="A68" s="5" t="n">
        <v>67</v>
      </c>
      <c r="B68" s="5" t="s">
        <v>87</v>
      </c>
      <c r="C68" s="5" t="n">
        <v>2</v>
      </c>
      <c r="D68" s="5" t="s">
        <v>14</v>
      </c>
      <c r="E68" s="5" t="s">
        <v>390</v>
      </c>
      <c r="F68" s="5" t="s">
        <v>391</v>
      </c>
      <c r="G68" s="5" t="s">
        <v>90</v>
      </c>
      <c r="H68" s="5" t="s">
        <v>392</v>
      </c>
      <c r="I68" s="8" t="s">
        <v>393</v>
      </c>
      <c r="J68" s="5" t="s">
        <v>394</v>
      </c>
      <c r="K68" s="8" t="s">
        <v>94</v>
      </c>
      <c r="L68" s="9" t="s">
        <v>95</v>
      </c>
      <c r="M68" s="10"/>
      <c r="N68" s="10"/>
      <c r="O68" s="10"/>
      <c r="P68" s="5" t="s">
        <v>102</v>
      </c>
    </row>
    <row r="69" customFormat="false" ht="41.75" hidden="false" customHeight="false" outlineLevel="0" collapsed="false">
      <c r="A69" s="5" t="n">
        <v>68</v>
      </c>
      <c r="B69" s="5" t="s">
        <v>87</v>
      </c>
      <c r="C69" s="5" t="n">
        <v>2</v>
      </c>
      <c r="D69" s="5" t="s">
        <v>17</v>
      </c>
      <c r="E69" s="5" t="s">
        <v>395</v>
      </c>
      <c r="F69" s="5" t="s">
        <v>396</v>
      </c>
      <c r="G69" s="5" t="s">
        <v>90</v>
      </c>
      <c r="H69" s="5" t="s">
        <v>397</v>
      </c>
      <c r="I69" s="8" t="s">
        <v>398</v>
      </c>
      <c r="J69" s="5" t="s">
        <v>399</v>
      </c>
      <c r="K69" s="8" t="s">
        <v>94</v>
      </c>
      <c r="L69" s="9" t="s">
        <v>95</v>
      </c>
      <c r="M69" s="10"/>
      <c r="N69" s="10"/>
      <c r="O69" s="10"/>
      <c r="P69" s="5" t="s">
        <v>96</v>
      </c>
    </row>
    <row r="70" customFormat="false" ht="41.75" hidden="false" customHeight="false" outlineLevel="0" collapsed="false">
      <c r="A70" s="5" t="n">
        <v>69</v>
      </c>
      <c r="B70" s="5" t="s">
        <v>87</v>
      </c>
      <c r="C70" s="5" t="n">
        <v>2</v>
      </c>
      <c r="D70" s="5" t="s">
        <v>11</v>
      </c>
      <c r="E70" s="5" t="s">
        <v>400</v>
      </c>
      <c r="F70" s="5" t="s">
        <v>401</v>
      </c>
      <c r="G70" s="5" t="s">
        <v>90</v>
      </c>
      <c r="H70" s="5" t="s">
        <v>402</v>
      </c>
      <c r="I70" s="8" t="s">
        <v>403</v>
      </c>
      <c r="J70" s="5" t="s">
        <v>404</v>
      </c>
      <c r="K70" s="8" t="s">
        <v>94</v>
      </c>
      <c r="L70" s="9" t="s">
        <v>95</v>
      </c>
      <c r="M70" s="10"/>
      <c r="N70" s="10"/>
      <c r="O70" s="10"/>
      <c r="P70" s="5" t="s">
        <v>102</v>
      </c>
    </row>
    <row r="71" customFormat="false" ht="41.75" hidden="false" customHeight="false" outlineLevel="0" collapsed="false">
      <c r="A71" s="5" t="n">
        <v>70</v>
      </c>
      <c r="B71" s="5" t="s">
        <v>87</v>
      </c>
      <c r="C71" s="5" t="n">
        <v>2</v>
      </c>
      <c r="D71" s="5" t="s">
        <v>14</v>
      </c>
      <c r="E71" s="5" t="s">
        <v>405</v>
      </c>
      <c r="F71" s="5" t="s">
        <v>119</v>
      </c>
      <c r="G71" s="5" t="s">
        <v>90</v>
      </c>
      <c r="H71" s="5" t="s">
        <v>406</v>
      </c>
      <c r="I71" s="8" t="s">
        <v>407</v>
      </c>
      <c r="J71" s="5"/>
      <c r="K71" s="8" t="s">
        <v>94</v>
      </c>
      <c r="L71" s="9" t="s">
        <v>95</v>
      </c>
      <c r="M71" s="10"/>
      <c r="N71" s="10"/>
      <c r="O71" s="10"/>
      <c r="P71" s="5" t="s">
        <v>102</v>
      </c>
    </row>
    <row r="72" customFormat="false" ht="55.2" hidden="false" customHeight="false" outlineLevel="0" collapsed="false">
      <c r="A72" s="5" t="n">
        <v>71</v>
      </c>
      <c r="B72" s="5" t="s">
        <v>87</v>
      </c>
      <c r="C72" s="5" t="n">
        <v>2</v>
      </c>
      <c r="D72" s="5" t="s">
        <v>11</v>
      </c>
      <c r="E72" s="5" t="s">
        <v>408</v>
      </c>
      <c r="F72" s="5" t="s">
        <v>409</v>
      </c>
      <c r="G72" s="5" t="s">
        <v>90</v>
      </c>
      <c r="H72" s="5" t="s">
        <v>410</v>
      </c>
      <c r="I72" s="8" t="s">
        <v>411</v>
      </c>
      <c r="J72" s="5" t="s">
        <v>412</v>
      </c>
      <c r="K72" s="8" t="s">
        <v>94</v>
      </c>
      <c r="L72" s="9" t="s">
        <v>95</v>
      </c>
      <c r="M72" s="10"/>
      <c r="N72" s="10"/>
      <c r="O72" s="10"/>
      <c r="P72" s="5" t="s">
        <v>102</v>
      </c>
    </row>
    <row r="73" customFormat="false" ht="41.75" hidden="false" customHeight="false" outlineLevel="0" collapsed="false">
      <c r="A73" s="5" t="n">
        <v>72</v>
      </c>
      <c r="B73" s="5" t="s">
        <v>87</v>
      </c>
      <c r="C73" s="5" t="n">
        <v>2</v>
      </c>
      <c r="D73" s="5" t="s">
        <v>17</v>
      </c>
      <c r="E73" s="5" t="s">
        <v>413</v>
      </c>
      <c r="F73" s="5" t="s">
        <v>98</v>
      </c>
      <c r="G73" s="5" t="s">
        <v>90</v>
      </c>
      <c r="H73" s="5" t="s">
        <v>414</v>
      </c>
      <c r="I73" s="8" t="s">
        <v>415</v>
      </c>
      <c r="J73" s="5" t="s">
        <v>416</v>
      </c>
      <c r="K73" s="8" t="s">
        <v>94</v>
      </c>
      <c r="L73" s="9" t="s">
        <v>95</v>
      </c>
      <c r="M73" s="10"/>
      <c r="N73" s="10"/>
      <c r="O73" s="10"/>
      <c r="P73" s="5" t="s">
        <v>96</v>
      </c>
    </row>
    <row r="74" customFormat="false" ht="41.75" hidden="false" customHeight="false" outlineLevel="0" collapsed="false">
      <c r="A74" s="5" t="n">
        <v>73</v>
      </c>
      <c r="B74" s="5" t="s">
        <v>87</v>
      </c>
      <c r="C74" s="5" t="n">
        <v>2</v>
      </c>
      <c r="D74" s="5" t="s">
        <v>11</v>
      </c>
      <c r="E74" s="5" t="s">
        <v>417</v>
      </c>
      <c r="F74" s="5" t="s">
        <v>418</v>
      </c>
      <c r="G74" s="5" t="s">
        <v>90</v>
      </c>
      <c r="H74" s="5" t="s">
        <v>419</v>
      </c>
      <c r="I74" s="8" t="s">
        <v>420</v>
      </c>
      <c r="J74" s="5" t="s">
        <v>421</v>
      </c>
      <c r="K74" s="8" t="s">
        <v>94</v>
      </c>
      <c r="L74" s="9" t="s">
        <v>95</v>
      </c>
      <c r="M74" s="10"/>
      <c r="N74" s="10"/>
      <c r="O74" s="10"/>
      <c r="P74" s="5" t="s">
        <v>102</v>
      </c>
    </row>
    <row r="75" customFormat="false" ht="15" hidden="false" customHeight="false" outlineLevel="0" collapsed="false">
      <c r="A75" s="5" t="n">
        <v>74</v>
      </c>
      <c r="B75" s="5" t="s">
        <v>87</v>
      </c>
      <c r="C75" s="5" t="n">
        <v>2</v>
      </c>
      <c r="D75" s="5" t="s">
        <v>10</v>
      </c>
      <c r="E75" s="5" t="s">
        <v>422</v>
      </c>
      <c r="F75" s="5" t="s">
        <v>423</v>
      </c>
      <c r="G75" s="5" t="s">
        <v>90</v>
      </c>
      <c r="H75" s="5" t="s">
        <v>424</v>
      </c>
      <c r="I75" s="5"/>
      <c r="J75" s="5"/>
      <c r="K75" s="8" t="s">
        <v>94</v>
      </c>
      <c r="L75" s="9" t="s">
        <v>95</v>
      </c>
      <c r="M75" s="10"/>
      <c r="N75" s="10"/>
      <c r="O75" s="10"/>
      <c r="P75" s="5" t="s">
        <v>112</v>
      </c>
    </row>
    <row r="76" customFormat="false" ht="41.75" hidden="false" customHeight="false" outlineLevel="0" collapsed="false">
      <c r="A76" s="5" t="n">
        <v>75</v>
      </c>
      <c r="B76" s="5" t="s">
        <v>87</v>
      </c>
      <c r="C76" s="5" t="n">
        <v>2</v>
      </c>
      <c r="D76" s="5" t="s">
        <v>13</v>
      </c>
      <c r="E76" s="5" t="s">
        <v>425</v>
      </c>
      <c r="F76" s="5" t="s">
        <v>426</v>
      </c>
      <c r="G76" s="5" t="s">
        <v>90</v>
      </c>
      <c r="H76" s="5" t="s">
        <v>427</v>
      </c>
      <c r="I76" s="8" t="s">
        <v>428</v>
      </c>
      <c r="J76" s="5" t="s">
        <v>429</v>
      </c>
      <c r="K76" s="8" t="s">
        <v>94</v>
      </c>
      <c r="L76" s="9" t="s">
        <v>95</v>
      </c>
      <c r="M76" s="10"/>
      <c r="N76" s="10"/>
      <c r="O76" s="10"/>
      <c r="P76" s="5" t="s">
        <v>102</v>
      </c>
    </row>
    <row r="77" customFormat="false" ht="41.75" hidden="false" customHeight="false" outlineLevel="0" collapsed="false">
      <c r="A77" s="5" t="n">
        <v>76</v>
      </c>
      <c r="B77" s="5" t="s">
        <v>87</v>
      </c>
      <c r="C77" s="5" t="n">
        <v>2</v>
      </c>
      <c r="D77" s="5" t="s">
        <v>17</v>
      </c>
      <c r="E77" s="5" t="s">
        <v>430</v>
      </c>
      <c r="F77" s="5" t="s">
        <v>431</v>
      </c>
      <c r="G77" s="5" t="s">
        <v>90</v>
      </c>
      <c r="H77" s="5" t="s">
        <v>432</v>
      </c>
      <c r="I77" s="8" t="s">
        <v>433</v>
      </c>
      <c r="J77" s="5" t="s">
        <v>434</v>
      </c>
      <c r="K77" s="8" t="s">
        <v>94</v>
      </c>
      <c r="L77" s="9" t="s">
        <v>95</v>
      </c>
      <c r="M77" s="10"/>
      <c r="N77" s="10"/>
      <c r="O77" s="10"/>
      <c r="P77" s="5" t="s">
        <v>96</v>
      </c>
    </row>
    <row r="78" customFormat="false" ht="55.2" hidden="false" customHeight="false" outlineLevel="0" collapsed="false">
      <c r="A78" s="5" t="n">
        <v>77</v>
      </c>
      <c r="B78" s="5" t="s">
        <v>87</v>
      </c>
      <c r="C78" s="5" t="n">
        <v>2</v>
      </c>
      <c r="D78" s="5" t="s">
        <v>14</v>
      </c>
      <c r="E78" s="5" t="s">
        <v>435</v>
      </c>
      <c r="F78" s="5" t="s">
        <v>436</v>
      </c>
      <c r="G78" s="5" t="s">
        <v>90</v>
      </c>
      <c r="H78" s="5" t="s">
        <v>437</v>
      </c>
      <c r="I78" s="8" t="s">
        <v>438</v>
      </c>
      <c r="J78" s="5" t="s">
        <v>439</v>
      </c>
      <c r="K78" s="8" t="s">
        <v>94</v>
      </c>
      <c r="L78" s="9" t="s">
        <v>95</v>
      </c>
      <c r="M78" s="10"/>
      <c r="N78" s="10"/>
      <c r="O78" s="10"/>
      <c r="P78" s="5" t="s">
        <v>102</v>
      </c>
    </row>
    <row r="79" customFormat="false" ht="41.75" hidden="false" customHeight="false" outlineLevel="0" collapsed="false">
      <c r="A79" s="5" t="n">
        <v>78</v>
      </c>
      <c r="B79" s="5" t="s">
        <v>87</v>
      </c>
      <c r="C79" s="5" t="n">
        <v>2</v>
      </c>
      <c r="D79" s="5" t="s">
        <v>12</v>
      </c>
      <c r="E79" s="5" t="s">
        <v>440</v>
      </c>
      <c r="F79" s="5" t="s">
        <v>441</v>
      </c>
      <c r="G79" s="5" t="s">
        <v>90</v>
      </c>
      <c r="H79" s="5" t="s">
        <v>442</v>
      </c>
      <c r="I79" s="5"/>
      <c r="J79" s="5"/>
      <c r="K79" s="8" t="s">
        <v>94</v>
      </c>
      <c r="L79" s="9" t="s">
        <v>95</v>
      </c>
      <c r="M79" s="10"/>
      <c r="N79" s="10"/>
      <c r="O79" s="10"/>
      <c r="P79" s="5" t="s">
        <v>96</v>
      </c>
    </row>
    <row r="80" customFormat="false" ht="41.75" hidden="false" customHeight="false" outlineLevel="0" collapsed="false">
      <c r="A80" s="5" t="n">
        <v>79</v>
      </c>
      <c r="B80" s="5" t="s">
        <v>87</v>
      </c>
      <c r="C80" s="5" t="n">
        <v>2</v>
      </c>
      <c r="D80" s="5" t="s">
        <v>14</v>
      </c>
      <c r="E80" s="5" t="s">
        <v>443</v>
      </c>
      <c r="F80" s="5" t="s">
        <v>444</v>
      </c>
      <c r="G80" s="5" t="s">
        <v>90</v>
      </c>
      <c r="H80" s="5" t="s">
        <v>445</v>
      </c>
      <c r="I80" s="5"/>
      <c r="J80" s="5" t="s">
        <v>446</v>
      </c>
      <c r="K80" s="8" t="s">
        <v>94</v>
      </c>
      <c r="L80" s="9" t="s">
        <v>95</v>
      </c>
      <c r="M80" s="10"/>
      <c r="N80" s="10"/>
      <c r="O80" s="10"/>
      <c r="P80" s="5" t="s">
        <v>96</v>
      </c>
    </row>
    <row r="81" customFormat="false" ht="41.75" hidden="false" customHeight="false" outlineLevel="0" collapsed="false">
      <c r="A81" s="5" t="n">
        <v>80</v>
      </c>
      <c r="B81" s="5" t="s">
        <v>87</v>
      </c>
      <c r="C81" s="5" t="n">
        <v>2</v>
      </c>
      <c r="D81" s="5" t="s">
        <v>13</v>
      </c>
      <c r="E81" s="5" t="s">
        <v>447</v>
      </c>
      <c r="F81" s="5" t="s">
        <v>448</v>
      </c>
      <c r="G81" s="5" t="s">
        <v>90</v>
      </c>
      <c r="H81" s="5" t="s">
        <v>449</v>
      </c>
      <c r="I81" s="8" t="s">
        <v>450</v>
      </c>
      <c r="J81" s="5" t="s">
        <v>451</v>
      </c>
      <c r="K81" s="8" t="s">
        <v>94</v>
      </c>
      <c r="L81" s="9" t="s">
        <v>95</v>
      </c>
      <c r="M81" s="10"/>
      <c r="N81" s="10"/>
      <c r="O81" s="10"/>
      <c r="P81" s="5" t="s">
        <v>102</v>
      </c>
    </row>
    <row r="82" customFormat="false" ht="41.75" hidden="false" customHeight="false" outlineLevel="0" collapsed="false">
      <c r="A82" s="5" t="n">
        <v>81</v>
      </c>
      <c r="B82" s="5" t="s">
        <v>87</v>
      </c>
      <c r="C82" s="5" t="n">
        <v>2</v>
      </c>
      <c r="D82" s="5" t="s">
        <v>15</v>
      </c>
      <c r="E82" s="5" t="s">
        <v>452</v>
      </c>
      <c r="F82" s="5" t="s">
        <v>453</v>
      </c>
      <c r="G82" s="5" t="s">
        <v>90</v>
      </c>
      <c r="H82" s="5" t="s">
        <v>454</v>
      </c>
      <c r="I82" s="8" t="s">
        <v>455</v>
      </c>
      <c r="J82" s="5" t="s">
        <v>456</v>
      </c>
      <c r="K82" s="8" t="s">
        <v>94</v>
      </c>
      <c r="L82" s="9" t="s">
        <v>95</v>
      </c>
      <c r="M82" s="10"/>
      <c r="N82" s="10"/>
      <c r="O82" s="10"/>
      <c r="P82" s="5" t="s">
        <v>96</v>
      </c>
    </row>
    <row r="83" customFormat="false" ht="41.75" hidden="false" customHeight="false" outlineLevel="0" collapsed="false">
      <c r="A83" s="5" t="n">
        <v>82</v>
      </c>
      <c r="B83" s="5" t="s">
        <v>87</v>
      </c>
      <c r="C83" s="5" t="n">
        <v>2</v>
      </c>
      <c r="D83" s="5" t="s">
        <v>11</v>
      </c>
      <c r="E83" s="5" t="s">
        <v>457</v>
      </c>
      <c r="F83" s="5" t="s">
        <v>458</v>
      </c>
      <c r="G83" s="5" t="s">
        <v>90</v>
      </c>
      <c r="H83" s="5" t="s">
        <v>459</v>
      </c>
      <c r="I83" s="8" t="s">
        <v>460</v>
      </c>
      <c r="J83" s="5" t="s">
        <v>461</v>
      </c>
      <c r="K83" s="8" t="s">
        <v>94</v>
      </c>
      <c r="L83" s="9" t="s">
        <v>95</v>
      </c>
      <c r="M83" s="10"/>
      <c r="N83" s="10"/>
      <c r="O83" s="10"/>
      <c r="P83" s="5" t="s">
        <v>102</v>
      </c>
    </row>
    <row r="84" customFormat="false" ht="55.2" hidden="false" customHeight="false" outlineLevel="0" collapsed="false">
      <c r="A84" s="5" t="n">
        <v>83</v>
      </c>
      <c r="B84" s="5" t="s">
        <v>87</v>
      </c>
      <c r="C84" s="5" t="n">
        <v>2</v>
      </c>
      <c r="D84" s="5" t="s">
        <v>11</v>
      </c>
      <c r="E84" s="5" t="s">
        <v>462</v>
      </c>
      <c r="F84" s="5" t="s">
        <v>463</v>
      </c>
      <c r="G84" s="5" t="s">
        <v>90</v>
      </c>
      <c r="H84" s="5" t="s">
        <v>464</v>
      </c>
      <c r="I84" s="8" t="s">
        <v>465</v>
      </c>
      <c r="J84" s="5" t="s">
        <v>466</v>
      </c>
      <c r="K84" s="8" t="s">
        <v>94</v>
      </c>
      <c r="L84" s="9" t="s">
        <v>95</v>
      </c>
      <c r="M84" s="10"/>
      <c r="N84" s="10"/>
      <c r="O84" s="10"/>
      <c r="P84" s="5" t="s">
        <v>102</v>
      </c>
    </row>
    <row r="85" customFormat="false" ht="41.75" hidden="false" customHeight="false" outlineLevel="0" collapsed="false">
      <c r="A85" s="5" t="n">
        <v>84</v>
      </c>
      <c r="B85" s="5" t="s">
        <v>87</v>
      </c>
      <c r="C85" s="5" t="n">
        <v>2</v>
      </c>
      <c r="D85" s="5" t="s">
        <v>10</v>
      </c>
      <c r="E85" s="5" t="s">
        <v>467</v>
      </c>
      <c r="F85" s="5" t="s">
        <v>468</v>
      </c>
      <c r="G85" s="5" t="s">
        <v>90</v>
      </c>
      <c r="H85" s="5" t="s">
        <v>469</v>
      </c>
      <c r="I85" s="8" t="s">
        <v>470</v>
      </c>
      <c r="J85" s="5"/>
      <c r="K85" s="8" t="s">
        <v>94</v>
      </c>
      <c r="L85" s="9" t="s">
        <v>95</v>
      </c>
      <c r="M85" s="10"/>
      <c r="N85" s="10"/>
      <c r="O85" s="10"/>
      <c r="P85" s="5" t="s">
        <v>102</v>
      </c>
    </row>
    <row r="86" customFormat="false" ht="15" hidden="false" customHeight="false" outlineLevel="0" collapsed="false">
      <c r="A86" s="5" t="n">
        <v>85</v>
      </c>
      <c r="B86" s="5" t="s">
        <v>87</v>
      </c>
      <c r="C86" s="5" t="n">
        <v>2</v>
      </c>
      <c r="D86" s="5" t="s">
        <v>10</v>
      </c>
      <c r="E86" s="5" t="s">
        <v>471</v>
      </c>
      <c r="F86" s="5" t="s">
        <v>472</v>
      </c>
      <c r="G86" s="5" t="s">
        <v>90</v>
      </c>
      <c r="H86" s="5" t="s">
        <v>473</v>
      </c>
      <c r="I86" s="5"/>
      <c r="J86" s="5"/>
      <c r="K86" s="8" t="s">
        <v>94</v>
      </c>
      <c r="L86" s="9" t="s">
        <v>95</v>
      </c>
      <c r="M86" s="10"/>
      <c r="N86" s="10"/>
      <c r="O86" s="10"/>
      <c r="P86" s="5" t="s">
        <v>112</v>
      </c>
    </row>
    <row r="87" customFormat="false" ht="55.2" hidden="false" customHeight="false" outlineLevel="0" collapsed="false">
      <c r="A87" s="5" t="n">
        <v>86</v>
      </c>
      <c r="B87" s="5" t="s">
        <v>87</v>
      </c>
      <c r="C87" s="5" t="n">
        <v>2</v>
      </c>
      <c r="D87" s="5" t="s">
        <v>10</v>
      </c>
      <c r="E87" s="5" t="s">
        <v>474</v>
      </c>
      <c r="F87" s="5" t="s">
        <v>475</v>
      </c>
      <c r="G87" s="5" t="s">
        <v>90</v>
      </c>
      <c r="H87" s="5" t="s">
        <v>476</v>
      </c>
      <c r="I87" s="8" t="s">
        <v>477</v>
      </c>
      <c r="J87" s="5" t="s">
        <v>478</v>
      </c>
      <c r="K87" s="8" t="s">
        <v>94</v>
      </c>
      <c r="L87" s="9" t="s">
        <v>95</v>
      </c>
      <c r="M87" s="10"/>
      <c r="N87" s="10"/>
      <c r="O87" s="10"/>
      <c r="P87" s="5" t="s">
        <v>96</v>
      </c>
    </row>
    <row r="88" customFormat="false" ht="41.75" hidden="false" customHeight="false" outlineLevel="0" collapsed="false">
      <c r="A88" s="5" t="n">
        <v>87</v>
      </c>
      <c r="B88" s="5" t="s">
        <v>87</v>
      </c>
      <c r="C88" s="5" t="n">
        <v>2</v>
      </c>
      <c r="D88" s="5" t="s">
        <v>16</v>
      </c>
      <c r="E88" s="5" t="s">
        <v>479</v>
      </c>
      <c r="F88" s="5" t="s">
        <v>344</v>
      </c>
      <c r="G88" s="5" t="s">
        <v>90</v>
      </c>
      <c r="H88" s="5" t="s">
        <v>480</v>
      </c>
      <c r="I88" s="8" t="s">
        <v>481</v>
      </c>
      <c r="J88" s="5" t="s">
        <v>482</v>
      </c>
      <c r="K88" s="8" t="s">
        <v>94</v>
      </c>
      <c r="L88" s="9" t="s">
        <v>95</v>
      </c>
      <c r="M88" s="10"/>
      <c r="N88" s="10"/>
      <c r="O88" s="10"/>
      <c r="P88" s="5" t="s">
        <v>96</v>
      </c>
    </row>
    <row r="89" customFormat="false" ht="55.2" hidden="false" customHeight="false" outlineLevel="0" collapsed="false">
      <c r="A89" s="5" t="n">
        <v>88</v>
      </c>
      <c r="B89" s="5" t="s">
        <v>87</v>
      </c>
      <c r="C89" s="5" t="n">
        <v>2</v>
      </c>
      <c r="D89" s="5" t="s">
        <v>11</v>
      </c>
      <c r="E89" s="5" t="s">
        <v>483</v>
      </c>
      <c r="F89" s="5" t="s">
        <v>484</v>
      </c>
      <c r="G89" s="5" t="s">
        <v>90</v>
      </c>
      <c r="H89" s="5" t="s">
        <v>485</v>
      </c>
      <c r="I89" s="8" t="s">
        <v>486</v>
      </c>
      <c r="J89" s="5" t="s">
        <v>487</v>
      </c>
      <c r="K89" s="8" t="s">
        <v>94</v>
      </c>
      <c r="L89" s="9" t="s">
        <v>95</v>
      </c>
      <c r="M89" s="10"/>
      <c r="N89" s="10"/>
      <c r="O89" s="10"/>
      <c r="P89" s="5" t="s">
        <v>96</v>
      </c>
    </row>
    <row r="90" customFormat="false" ht="41.75" hidden="false" customHeight="false" outlineLevel="0" collapsed="false">
      <c r="A90" s="5" t="n">
        <v>89</v>
      </c>
      <c r="B90" s="5" t="s">
        <v>87</v>
      </c>
      <c r="C90" s="5" t="n">
        <v>2</v>
      </c>
      <c r="D90" s="5" t="s">
        <v>17</v>
      </c>
      <c r="E90" s="5" t="s">
        <v>488</v>
      </c>
      <c r="F90" s="5" t="s">
        <v>352</v>
      </c>
      <c r="G90" s="5" t="s">
        <v>90</v>
      </c>
      <c r="H90" s="5" t="s">
        <v>489</v>
      </c>
      <c r="I90" s="8" t="s">
        <v>490</v>
      </c>
      <c r="J90" s="5" t="s">
        <v>491</v>
      </c>
      <c r="K90" s="8" t="s">
        <v>94</v>
      </c>
      <c r="L90" s="9" t="s">
        <v>95</v>
      </c>
      <c r="M90" s="10"/>
      <c r="N90" s="10"/>
      <c r="O90" s="10"/>
      <c r="P90" s="5" t="s">
        <v>96</v>
      </c>
    </row>
    <row r="91" customFormat="false" ht="55.2" hidden="false" customHeight="false" outlineLevel="0" collapsed="false">
      <c r="A91" s="5" t="n">
        <v>90</v>
      </c>
      <c r="B91" s="5" t="s">
        <v>87</v>
      </c>
      <c r="C91" s="5" t="n">
        <v>2</v>
      </c>
      <c r="D91" s="5" t="s">
        <v>15</v>
      </c>
      <c r="E91" s="5" t="s">
        <v>492</v>
      </c>
      <c r="F91" s="5" t="s">
        <v>493</v>
      </c>
      <c r="G91" s="5" t="s">
        <v>90</v>
      </c>
      <c r="H91" s="5" t="s">
        <v>494</v>
      </c>
      <c r="I91" s="8" t="s">
        <v>495</v>
      </c>
      <c r="J91" s="5" t="s">
        <v>496</v>
      </c>
      <c r="K91" s="8" t="s">
        <v>94</v>
      </c>
      <c r="L91" s="9" t="s">
        <v>95</v>
      </c>
      <c r="M91" s="10"/>
      <c r="N91" s="10"/>
      <c r="O91" s="10"/>
      <c r="P91" s="5" t="s">
        <v>96</v>
      </c>
    </row>
    <row r="92" customFormat="false" ht="41.75" hidden="false" customHeight="false" outlineLevel="0" collapsed="false">
      <c r="A92" s="5" t="n">
        <v>91</v>
      </c>
      <c r="B92" s="5" t="s">
        <v>87</v>
      </c>
      <c r="C92" s="5" t="n">
        <v>2</v>
      </c>
      <c r="D92" s="5" t="s">
        <v>10</v>
      </c>
      <c r="E92" s="5" t="s">
        <v>497</v>
      </c>
      <c r="F92" s="5" t="s">
        <v>263</v>
      </c>
      <c r="G92" s="5" t="s">
        <v>163</v>
      </c>
      <c r="H92" s="5" t="s">
        <v>498</v>
      </c>
      <c r="I92" s="8" t="s">
        <v>499</v>
      </c>
      <c r="J92" s="5" t="s">
        <v>500</v>
      </c>
      <c r="K92" s="8" t="s">
        <v>94</v>
      </c>
      <c r="L92" s="9" t="s">
        <v>95</v>
      </c>
      <c r="M92" s="10"/>
      <c r="N92" s="10"/>
      <c r="O92" s="10"/>
      <c r="P92" s="5" t="s">
        <v>102</v>
      </c>
    </row>
    <row r="93" customFormat="false" ht="15" hidden="false" customHeight="false" outlineLevel="0" collapsed="false">
      <c r="A93" s="5" t="n">
        <v>92</v>
      </c>
      <c r="B93" s="5" t="s">
        <v>87</v>
      </c>
      <c r="C93" s="5" t="n">
        <v>2</v>
      </c>
      <c r="D93" s="5" t="s">
        <v>10</v>
      </c>
      <c r="E93" s="5" t="s">
        <v>501</v>
      </c>
      <c r="F93" s="5" t="s">
        <v>162</v>
      </c>
      <c r="G93" s="5" t="s">
        <v>163</v>
      </c>
      <c r="H93" s="5" t="s">
        <v>502</v>
      </c>
      <c r="I93" s="5"/>
      <c r="J93" s="5"/>
      <c r="K93" s="8" t="s">
        <v>94</v>
      </c>
      <c r="L93" s="9" t="s">
        <v>95</v>
      </c>
      <c r="M93" s="10"/>
      <c r="N93" s="10"/>
      <c r="O93" s="10"/>
      <c r="P93" s="5" t="s">
        <v>112</v>
      </c>
    </row>
    <row r="94" customFormat="false" ht="15" hidden="false" customHeight="false" outlineLevel="0" collapsed="false">
      <c r="A94" s="5" t="n">
        <v>93</v>
      </c>
      <c r="B94" s="5" t="s">
        <v>87</v>
      </c>
      <c r="C94" s="5" t="n">
        <v>2</v>
      </c>
      <c r="D94" s="5" t="s">
        <v>10</v>
      </c>
      <c r="E94" s="5" t="s">
        <v>503</v>
      </c>
      <c r="F94" s="5" t="s">
        <v>504</v>
      </c>
      <c r="G94" s="5" t="s">
        <v>163</v>
      </c>
      <c r="H94" s="5" t="s">
        <v>505</v>
      </c>
      <c r="I94" s="5"/>
      <c r="J94" s="5"/>
      <c r="K94" s="8" t="s">
        <v>94</v>
      </c>
      <c r="L94" s="9" t="s">
        <v>95</v>
      </c>
      <c r="M94" s="10"/>
      <c r="N94" s="10"/>
      <c r="O94" s="10"/>
      <c r="P94" s="5" t="s">
        <v>112</v>
      </c>
    </row>
    <row r="95" customFormat="false" ht="41.75" hidden="false" customHeight="false" outlineLevel="0" collapsed="false">
      <c r="A95" s="5" t="n">
        <v>94</v>
      </c>
      <c r="B95" s="5" t="s">
        <v>87</v>
      </c>
      <c r="C95" s="5" t="n">
        <v>2</v>
      </c>
      <c r="D95" s="5" t="s">
        <v>10</v>
      </c>
      <c r="E95" s="5" t="s">
        <v>506</v>
      </c>
      <c r="F95" s="5" t="s">
        <v>507</v>
      </c>
      <c r="G95" s="5" t="s">
        <v>163</v>
      </c>
      <c r="H95" s="5" t="s">
        <v>508</v>
      </c>
      <c r="I95" s="8" t="s">
        <v>509</v>
      </c>
      <c r="J95" s="5" t="s">
        <v>510</v>
      </c>
      <c r="K95" s="8" t="s">
        <v>94</v>
      </c>
      <c r="L95" s="9" t="s">
        <v>95</v>
      </c>
      <c r="M95" s="10"/>
      <c r="N95" s="10"/>
      <c r="O95" s="10"/>
      <c r="P95" s="5" t="s">
        <v>102</v>
      </c>
    </row>
    <row r="96" customFormat="false" ht="55.2" hidden="false" customHeight="false" outlineLevel="0" collapsed="false">
      <c r="A96" s="5" t="n">
        <v>95</v>
      </c>
      <c r="B96" s="5" t="s">
        <v>87</v>
      </c>
      <c r="C96" s="5" t="n">
        <v>2</v>
      </c>
      <c r="D96" s="5" t="s">
        <v>11</v>
      </c>
      <c r="E96" s="5" t="s">
        <v>511</v>
      </c>
      <c r="F96" s="5" t="s">
        <v>512</v>
      </c>
      <c r="G96" s="5" t="s">
        <v>163</v>
      </c>
      <c r="H96" s="5" t="s">
        <v>513</v>
      </c>
      <c r="I96" s="8" t="s">
        <v>514</v>
      </c>
      <c r="J96" s="5" t="s">
        <v>515</v>
      </c>
      <c r="K96" s="8" t="s">
        <v>94</v>
      </c>
      <c r="L96" s="9" t="s">
        <v>95</v>
      </c>
      <c r="M96" s="10"/>
      <c r="N96" s="10"/>
      <c r="O96" s="10"/>
      <c r="P96" s="5" t="s">
        <v>102</v>
      </c>
    </row>
    <row r="97" customFormat="false" ht="55.2" hidden="false" customHeight="false" outlineLevel="0" collapsed="false">
      <c r="A97" s="5" t="n">
        <v>96</v>
      </c>
      <c r="B97" s="5" t="s">
        <v>87</v>
      </c>
      <c r="C97" s="5" t="n">
        <v>2</v>
      </c>
      <c r="D97" s="5" t="s">
        <v>16</v>
      </c>
      <c r="E97" s="5" t="s">
        <v>516</v>
      </c>
      <c r="F97" s="5" t="s">
        <v>517</v>
      </c>
      <c r="G97" s="5" t="s">
        <v>163</v>
      </c>
      <c r="H97" s="5" t="s">
        <v>518</v>
      </c>
      <c r="I97" s="8" t="s">
        <v>519</v>
      </c>
      <c r="J97" s="5" t="s">
        <v>520</v>
      </c>
      <c r="K97" s="8" t="s">
        <v>94</v>
      </c>
      <c r="L97" s="9" t="s">
        <v>95</v>
      </c>
      <c r="M97" s="10"/>
      <c r="N97" s="10"/>
      <c r="O97" s="10"/>
      <c r="P97" s="5" t="s">
        <v>96</v>
      </c>
    </row>
    <row r="98" customFormat="false" ht="41.75" hidden="false" customHeight="false" outlineLevel="0" collapsed="false">
      <c r="A98" s="5" t="n">
        <v>97</v>
      </c>
      <c r="B98" s="5" t="s">
        <v>87</v>
      </c>
      <c r="C98" s="5" t="n">
        <v>2</v>
      </c>
      <c r="D98" s="5" t="s">
        <v>17</v>
      </c>
      <c r="E98" s="5" t="s">
        <v>521</v>
      </c>
      <c r="F98" s="5" t="s">
        <v>522</v>
      </c>
      <c r="G98" s="5" t="s">
        <v>163</v>
      </c>
      <c r="H98" s="5" t="s">
        <v>523</v>
      </c>
      <c r="I98" s="8" t="s">
        <v>524</v>
      </c>
      <c r="J98" s="5" t="s">
        <v>525</v>
      </c>
      <c r="K98" s="8" t="s">
        <v>94</v>
      </c>
      <c r="L98" s="9" t="s">
        <v>95</v>
      </c>
      <c r="M98" s="10"/>
      <c r="N98" s="10"/>
      <c r="O98" s="10"/>
      <c r="P98" s="5" t="s">
        <v>96</v>
      </c>
    </row>
    <row r="99" customFormat="false" ht="41.75" hidden="false" customHeight="false" outlineLevel="0" collapsed="false">
      <c r="A99" s="5" t="n">
        <v>98</v>
      </c>
      <c r="B99" s="5" t="s">
        <v>87</v>
      </c>
      <c r="C99" s="5" t="n">
        <v>2</v>
      </c>
      <c r="D99" s="5" t="s">
        <v>10</v>
      </c>
      <c r="E99" s="5" t="s">
        <v>526</v>
      </c>
      <c r="F99" s="5" t="s">
        <v>289</v>
      </c>
      <c r="G99" s="5" t="s">
        <v>163</v>
      </c>
      <c r="H99" s="5" t="s">
        <v>527</v>
      </c>
      <c r="I99" s="8" t="s">
        <v>528</v>
      </c>
      <c r="J99" s="5" t="s">
        <v>529</v>
      </c>
      <c r="K99" s="8" t="s">
        <v>94</v>
      </c>
      <c r="L99" s="9" t="s">
        <v>95</v>
      </c>
      <c r="M99" s="10"/>
      <c r="N99" s="10"/>
      <c r="O99" s="10"/>
      <c r="P99" s="5" t="s">
        <v>102</v>
      </c>
    </row>
    <row r="100" customFormat="false" ht="28.35" hidden="false" customHeight="false" outlineLevel="0" collapsed="false">
      <c r="A100" s="5" t="n">
        <v>99</v>
      </c>
      <c r="B100" s="5" t="s">
        <v>87</v>
      </c>
      <c r="C100" s="5" t="n">
        <v>2</v>
      </c>
      <c r="D100" s="5" t="s">
        <v>10</v>
      </c>
      <c r="E100" s="5" t="s">
        <v>530</v>
      </c>
      <c r="F100" s="5" t="s">
        <v>531</v>
      </c>
      <c r="G100" s="5" t="s">
        <v>163</v>
      </c>
      <c r="H100" s="5" t="s">
        <v>532</v>
      </c>
      <c r="I100" s="8" t="s">
        <v>533</v>
      </c>
      <c r="J100" s="5" t="s">
        <v>534</v>
      </c>
      <c r="K100" s="8" t="s">
        <v>94</v>
      </c>
      <c r="L100" s="9" t="s">
        <v>95</v>
      </c>
      <c r="M100" s="10"/>
      <c r="N100" s="10"/>
      <c r="O100" s="10"/>
      <c r="P100" s="5" t="s">
        <v>102</v>
      </c>
    </row>
    <row r="101" customFormat="false" ht="15" hidden="false" customHeight="false" outlineLevel="0" collapsed="false">
      <c r="A101" s="5" t="n">
        <v>100</v>
      </c>
      <c r="B101" s="5" t="s">
        <v>87</v>
      </c>
      <c r="C101" s="5" t="n">
        <v>2</v>
      </c>
      <c r="D101" s="5" t="s">
        <v>15</v>
      </c>
      <c r="E101" s="5" t="s">
        <v>535</v>
      </c>
      <c r="F101" s="5" t="s">
        <v>536</v>
      </c>
      <c r="G101" s="5" t="s">
        <v>163</v>
      </c>
      <c r="H101" s="5" t="s">
        <v>537</v>
      </c>
      <c r="I101" s="5"/>
      <c r="J101" s="5"/>
      <c r="K101" s="8" t="s">
        <v>94</v>
      </c>
      <c r="L101" s="9" t="s">
        <v>95</v>
      </c>
      <c r="M101" s="10"/>
      <c r="N101" s="10"/>
      <c r="O101" s="10"/>
      <c r="P101" s="5" t="s">
        <v>112</v>
      </c>
    </row>
    <row r="102" customFormat="false" ht="41.75" hidden="false" customHeight="false" outlineLevel="0" collapsed="false">
      <c r="A102" s="5" t="n">
        <v>101</v>
      </c>
      <c r="B102" s="5" t="s">
        <v>87</v>
      </c>
      <c r="C102" s="5" t="n">
        <v>2</v>
      </c>
      <c r="D102" s="5" t="s">
        <v>12</v>
      </c>
      <c r="E102" s="5" t="s">
        <v>538</v>
      </c>
      <c r="F102" s="5" t="s">
        <v>539</v>
      </c>
      <c r="G102" s="5" t="s">
        <v>163</v>
      </c>
      <c r="H102" s="5" t="s">
        <v>540</v>
      </c>
      <c r="I102" s="8" t="s">
        <v>541</v>
      </c>
      <c r="J102" s="5" t="s">
        <v>542</v>
      </c>
      <c r="K102" s="8" t="s">
        <v>94</v>
      </c>
      <c r="L102" s="9" t="s">
        <v>95</v>
      </c>
      <c r="M102" s="10"/>
      <c r="N102" s="10"/>
      <c r="O102" s="10"/>
      <c r="P102" s="5" t="s">
        <v>102</v>
      </c>
    </row>
    <row r="103" customFormat="false" ht="41.75" hidden="false" customHeight="false" outlineLevel="0" collapsed="false">
      <c r="A103" s="5" t="n">
        <v>102</v>
      </c>
      <c r="B103" s="5" t="s">
        <v>87</v>
      </c>
      <c r="C103" s="5" t="n">
        <v>2</v>
      </c>
      <c r="D103" s="5" t="s">
        <v>14</v>
      </c>
      <c r="E103" s="5" t="s">
        <v>543</v>
      </c>
      <c r="F103" s="5" t="s">
        <v>544</v>
      </c>
      <c r="G103" s="5" t="s">
        <v>163</v>
      </c>
      <c r="H103" s="5" t="s">
        <v>545</v>
      </c>
      <c r="I103" s="8" t="s">
        <v>546</v>
      </c>
      <c r="J103" s="5"/>
      <c r="K103" s="8" t="s">
        <v>94</v>
      </c>
      <c r="L103" s="9" t="s">
        <v>95</v>
      </c>
      <c r="M103" s="10"/>
      <c r="N103" s="10"/>
      <c r="O103" s="10"/>
      <c r="P103" s="5" t="s">
        <v>96</v>
      </c>
    </row>
    <row r="104" customFormat="false" ht="55.2" hidden="false" customHeight="false" outlineLevel="0" collapsed="false">
      <c r="A104" s="5" t="n">
        <v>103</v>
      </c>
      <c r="B104" s="5" t="s">
        <v>87</v>
      </c>
      <c r="C104" s="5" t="n">
        <v>2</v>
      </c>
      <c r="D104" s="5" t="s">
        <v>15</v>
      </c>
      <c r="E104" s="5" t="s">
        <v>547</v>
      </c>
      <c r="F104" s="5" t="s">
        <v>548</v>
      </c>
      <c r="G104" s="5" t="s">
        <v>163</v>
      </c>
      <c r="H104" s="5" t="s">
        <v>549</v>
      </c>
      <c r="I104" s="8" t="s">
        <v>550</v>
      </c>
      <c r="J104" s="5" t="s">
        <v>551</v>
      </c>
      <c r="K104" s="8" t="s">
        <v>94</v>
      </c>
      <c r="L104" s="9" t="s">
        <v>95</v>
      </c>
      <c r="M104" s="10"/>
      <c r="N104" s="10"/>
      <c r="O104" s="10"/>
      <c r="P104" s="5" t="s">
        <v>96</v>
      </c>
    </row>
    <row r="105" customFormat="false" ht="41.75" hidden="false" customHeight="false" outlineLevel="0" collapsed="false">
      <c r="A105" s="5" t="n">
        <v>104</v>
      </c>
      <c r="B105" s="5" t="s">
        <v>87</v>
      </c>
      <c r="C105" s="5" t="n">
        <v>2</v>
      </c>
      <c r="D105" s="5" t="s">
        <v>13</v>
      </c>
      <c r="E105" s="5" t="s">
        <v>552</v>
      </c>
      <c r="F105" s="5" t="s">
        <v>553</v>
      </c>
      <c r="G105" s="5" t="s">
        <v>163</v>
      </c>
      <c r="H105" s="5" t="s">
        <v>554</v>
      </c>
      <c r="I105" s="8" t="s">
        <v>555</v>
      </c>
      <c r="J105" s="5" t="s">
        <v>556</v>
      </c>
      <c r="K105" s="8" t="s">
        <v>94</v>
      </c>
      <c r="L105" s="9" t="s">
        <v>95</v>
      </c>
      <c r="M105" s="10"/>
      <c r="N105" s="10"/>
      <c r="O105" s="10"/>
      <c r="P105" s="5" t="s">
        <v>102</v>
      </c>
    </row>
    <row r="106" customFormat="false" ht="55.2" hidden="false" customHeight="false" outlineLevel="0" collapsed="false">
      <c r="A106" s="5" t="n">
        <v>105</v>
      </c>
      <c r="B106" s="5" t="s">
        <v>87</v>
      </c>
      <c r="C106" s="5" t="n">
        <v>2</v>
      </c>
      <c r="D106" s="5" t="s">
        <v>22</v>
      </c>
      <c r="E106" s="5" t="s">
        <v>557</v>
      </c>
      <c r="F106" s="5" t="s">
        <v>558</v>
      </c>
      <c r="G106" s="5" t="s">
        <v>163</v>
      </c>
      <c r="H106" s="5" t="s">
        <v>559</v>
      </c>
      <c r="I106" s="5"/>
      <c r="J106" s="5"/>
      <c r="K106" s="8" t="s">
        <v>94</v>
      </c>
      <c r="L106" s="9" t="s">
        <v>95</v>
      </c>
      <c r="M106" s="10"/>
      <c r="N106" s="10"/>
      <c r="O106" s="10"/>
      <c r="P106" s="5" t="s">
        <v>96</v>
      </c>
    </row>
    <row r="107" customFormat="false" ht="55.2" hidden="false" customHeight="false" outlineLevel="0" collapsed="false">
      <c r="A107" s="5" t="n">
        <v>106</v>
      </c>
      <c r="B107" s="5" t="s">
        <v>87</v>
      </c>
      <c r="C107" s="5" t="n">
        <v>2</v>
      </c>
      <c r="D107" s="5" t="s">
        <v>19</v>
      </c>
      <c r="E107" s="5" t="s">
        <v>560</v>
      </c>
      <c r="F107" s="5" t="s">
        <v>561</v>
      </c>
      <c r="G107" s="5" t="s">
        <v>163</v>
      </c>
      <c r="H107" s="5" t="s">
        <v>562</v>
      </c>
      <c r="I107" s="8" t="s">
        <v>563</v>
      </c>
      <c r="J107" s="5" t="s">
        <v>564</v>
      </c>
      <c r="K107" s="8" t="s">
        <v>94</v>
      </c>
      <c r="L107" s="9" t="s">
        <v>95</v>
      </c>
      <c r="M107" s="10"/>
      <c r="N107" s="10"/>
      <c r="O107" s="10"/>
      <c r="P107" s="5" t="s">
        <v>96</v>
      </c>
    </row>
    <row r="108" customFormat="false" ht="28.35" hidden="false" customHeight="false" outlineLevel="0" collapsed="false">
      <c r="A108" s="5" t="n">
        <v>107</v>
      </c>
      <c r="B108" s="5" t="s">
        <v>87</v>
      </c>
      <c r="C108" s="5" t="n">
        <v>2</v>
      </c>
      <c r="D108" s="5" t="s">
        <v>11</v>
      </c>
      <c r="E108" s="5" t="s">
        <v>565</v>
      </c>
      <c r="F108" s="5" t="s">
        <v>566</v>
      </c>
      <c r="G108" s="5" t="s">
        <v>163</v>
      </c>
      <c r="H108" s="5" t="s">
        <v>567</v>
      </c>
      <c r="I108" s="5"/>
      <c r="J108" s="5"/>
      <c r="K108" s="8" t="s">
        <v>94</v>
      </c>
      <c r="L108" s="9" t="s">
        <v>95</v>
      </c>
      <c r="M108" s="10"/>
      <c r="N108" s="10"/>
      <c r="O108" s="10"/>
      <c r="P108" s="5" t="s">
        <v>112</v>
      </c>
    </row>
    <row r="109" customFormat="false" ht="41.75" hidden="false" customHeight="false" outlineLevel="0" collapsed="false">
      <c r="A109" s="5" t="n">
        <v>108</v>
      </c>
      <c r="B109" s="5" t="s">
        <v>87</v>
      </c>
      <c r="C109" s="5" t="n">
        <v>2</v>
      </c>
      <c r="D109" s="5" t="s">
        <v>15</v>
      </c>
      <c r="E109" s="5" t="s">
        <v>568</v>
      </c>
      <c r="F109" s="5" t="s">
        <v>569</v>
      </c>
      <c r="G109" s="5" t="s">
        <v>163</v>
      </c>
      <c r="H109" s="5" t="s">
        <v>570</v>
      </c>
      <c r="I109" s="5"/>
      <c r="J109" s="5"/>
      <c r="K109" s="8" t="s">
        <v>94</v>
      </c>
      <c r="L109" s="9" t="s">
        <v>95</v>
      </c>
      <c r="M109" s="10"/>
      <c r="N109" s="10"/>
      <c r="O109" s="10"/>
      <c r="P109" s="5" t="s">
        <v>96</v>
      </c>
    </row>
    <row r="110" customFormat="false" ht="55.2" hidden="false" customHeight="false" outlineLevel="0" collapsed="false">
      <c r="A110" s="5" t="n">
        <v>109</v>
      </c>
      <c r="B110" s="5" t="s">
        <v>87</v>
      </c>
      <c r="C110" s="5" t="n">
        <v>2</v>
      </c>
      <c r="D110" s="5" t="s">
        <v>10</v>
      </c>
      <c r="E110" s="5" t="s">
        <v>571</v>
      </c>
      <c r="F110" s="5" t="s">
        <v>572</v>
      </c>
      <c r="G110" s="5" t="s">
        <v>163</v>
      </c>
      <c r="H110" s="5" t="s">
        <v>573</v>
      </c>
      <c r="I110" s="8" t="s">
        <v>574</v>
      </c>
      <c r="J110" s="5" t="s">
        <v>575</v>
      </c>
      <c r="K110" s="8" t="s">
        <v>94</v>
      </c>
      <c r="L110" s="9" t="s">
        <v>95</v>
      </c>
      <c r="M110" s="10"/>
      <c r="N110" s="10"/>
      <c r="O110" s="10"/>
      <c r="P110" s="5" t="s">
        <v>102</v>
      </c>
    </row>
    <row r="111" customFormat="false" ht="41.75" hidden="false" customHeight="false" outlineLevel="0" collapsed="false">
      <c r="A111" s="5" t="n">
        <v>110</v>
      </c>
      <c r="B111" s="5" t="s">
        <v>87</v>
      </c>
      <c r="C111" s="5" t="n">
        <v>2</v>
      </c>
      <c r="D111" s="5" t="s">
        <v>15</v>
      </c>
      <c r="E111" s="5" t="s">
        <v>576</v>
      </c>
      <c r="F111" s="5" t="s">
        <v>522</v>
      </c>
      <c r="G111" s="5" t="s">
        <v>163</v>
      </c>
      <c r="H111" s="5" t="s">
        <v>577</v>
      </c>
      <c r="I111" s="8" t="s">
        <v>578</v>
      </c>
      <c r="J111" s="5" t="s">
        <v>579</v>
      </c>
      <c r="K111" s="8" t="s">
        <v>94</v>
      </c>
      <c r="L111" s="9" t="s">
        <v>95</v>
      </c>
      <c r="M111" s="10"/>
      <c r="N111" s="10"/>
      <c r="O111" s="10"/>
      <c r="P111" s="5" t="s">
        <v>102</v>
      </c>
    </row>
    <row r="112" customFormat="false" ht="41.75" hidden="false" customHeight="false" outlineLevel="0" collapsed="false">
      <c r="A112" s="5" t="n">
        <v>111</v>
      </c>
      <c r="B112" s="5" t="s">
        <v>87</v>
      </c>
      <c r="C112" s="5" t="n">
        <v>2</v>
      </c>
      <c r="D112" s="5" t="s">
        <v>16</v>
      </c>
      <c r="E112" s="5" t="s">
        <v>580</v>
      </c>
      <c r="F112" s="5" t="s">
        <v>581</v>
      </c>
      <c r="G112" s="5" t="s">
        <v>163</v>
      </c>
      <c r="H112" s="5" t="s">
        <v>582</v>
      </c>
      <c r="I112" s="8" t="s">
        <v>583</v>
      </c>
      <c r="J112" s="5" t="s">
        <v>584</v>
      </c>
      <c r="K112" s="8" t="s">
        <v>94</v>
      </c>
      <c r="L112" s="9" t="s">
        <v>95</v>
      </c>
      <c r="M112" s="10"/>
      <c r="N112" s="10"/>
      <c r="O112" s="10"/>
      <c r="P112" s="5" t="s">
        <v>102</v>
      </c>
    </row>
    <row r="113" customFormat="false" ht="55.2" hidden="false" customHeight="false" outlineLevel="0" collapsed="false">
      <c r="A113" s="5" t="n">
        <v>112</v>
      </c>
      <c r="B113" s="5" t="s">
        <v>87</v>
      </c>
      <c r="C113" s="5" t="n">
        <v>2</v>
      </c>
      <c r="D113" s="5" t="s">
        <v>15</v>
      </c>
      <c r="E113" s="5" t="s">
        <v>585</v>
      </c>
      <c r="F113" s="5" t="s">
        <v>586</v>
      </c>
      <c r="G113" s="5" t="s">
        <v>163</v>
      </c>
      <c r="H113" s="5" t="s">
        <v>587</v>
      </c>
      <c r="I113" s="5"/>
      <c r="J113" s="5"/>
      <c r="K113" s="8" t="s">
        <v>94</v>
      </c>
      <c r="L113" s="9" t="s">
        <v>95</v>
      </c>
      <c r="M113" s="10"/>
      <c r="N113" s="10"/>
      <c r="O113" s="10"/>
      <c r="P113" s="5" t="s">
        <v>102</v>
      </c>
    </row>
    <row r="114" customFormat="false" ht="55.2" hidden="false" customHeight="false" outlineLevel="0" collapsed="false">
      <c r="A114" s="5" t="n">
        <v>113</v>
      </c>
      <c r="B114" s="5" t="s">
        <v>87</v>
      </c>
      <c r="C114" s="5" t="n">
        <v>2</v>
      </c>
      <c r="D114" s="5" t="s">
        <v>19</v>
      </c>
      <c r="E114" s="5" t="s">
        <v>588</v>
      </c>
      <c r="F114" s="5" t="s">
        <v>247</v>
      </c>
      <c r="G114" s="5" t="s">
        <v>163</v>
      </c>
      <c r="H114" s="5" t="s">
        <v>589</v>
      </c>
      <c r="I114" s="8" t="s">
        <v>590</v>
      </c>
      <c r="J114" s="5" t="s">
        <v>591</v>
      </c>
      <c r="K114" s="8" t="s">
        <v>94</v>
      </c>
      <c r="L114" s="9" t="s">
        <v>95</v>
      </c>
      <c r="M114" s="10"/>
      <c r="N114" s="10"/>
      <c r="O114" s="10"/>
      <c r="P114" s="5" t="s">
        <v>96</v>
      </c>
    </row>
    <row r="115" customFormat="false" ht="41.75" hidden="false" customHeight="false" outlineLevel="0" collapsed="false">
      <c r="A115" s="5" t="n">
        <v>114</v>
      </c>
      <c r="B115" s="5" t="s">
        <v>87</v>
      </c>
      <c r="C115" s="5" t="n">
        <v>2</v>
      </c>
      <c r="D115" s="5" t="s">
        <v>10</v>
      </c>
      <c r="E115" s="5" t="s">
        <v>592</v>
      </c>
      <c r="F115" s="5" t="s">
        <v>593</v>
      </c>
      <c r="G115" s="5" t="s">
        <v>163</v>
      </c>
      <c r="H115" s="5" t="s">
        <v>594</v>
      </c>
      <c r="I115" s="8" t="s">
        <v>595</v>
      </c>
      <c r="J115" s="5" t="s">
        <v>596</v>
      </c>
      <c r="K115" s="8" t="s">
        <v>94</v>
      </c>
      <c r="L115" s="9" t="s">
        <v>95</v>
      </c>
      <c r="M115" s="10"/>
      <c r="N115" s="10"/>
      <c r="O115" s="10"/>
      <c r="P115" s="5" t="s">
        <v>102</v>
      </c>
    </row>
    <row r="116" customFormat="false" ht="41.75" hidden="false" customHeight="false" outlineLevel="0" collapsed="false">
      <c r="A116" s="5" t="n">
        <v>115</v>
      </c>
      <c r="B116" s="5" t="s">
        <v>87</v>
      </c>
      <c r="C116" s="5" t="n">
        <v>2</v>
      </c>
      <c r="D116" s="5" t="s">
        <v>22</v>
      </c>
      <c r="E116" s="5" t="s">
        <v>597</v>
      </c>
      <c r="F116" s="5" t="s">
        <v>598</v>
      </c>
      <c r="G116" s="5" t="s">
        <v>163</v>
      </c>
      <c r="H116" s="5" t="s">
        <v>599</v>
      </c>
      <c r="I116" s="8" t="s">
        <v>600</v>
      </c>
      <c r="J116" s="5" t="s">
        <v>601</v>
      </c>
      <c r="K116" s="8" t="s">
        <v>94</v>
      </c>
      <c r="L116" s="9" t="s">
        <v>95</v>
      </c>
      <c r="M116" s="10"/>
      <c r="N116" s="10"/>
      <c r="O116" s="10"/>
      <c r="P116" s="5" t="s">
        <v>96</v>
      </c>
    </row>
    <row r="117" customFormat="false" ht="55.2" hidden="false" customHeight="false" outlineLevel="0" collapsed="false">
      <c r="A117" s="5" t="n">
        <v>116</v>
      </c>
      <c r="B117" s="5" t="s">
        <v>87</v>
      </c>
      <c r="C117" s="5" t="n">
        <v>2</v>
      </c>
      <c r="D117" s="5" t="s">
        <v>11</v>
      </c>
      <c r="E117" s="5" t="s">
        <v>602</v>
      </c>
      <c r="F117" s="5" t="s">
        <v>603</v>
      </c>
      <c r="G117" s="5" t="s">
        <v>163</v>
      </c>
      <c r="H117" s="5" t="s">
        <v>604</v>
      </c>
      <c r="I117" s="8" t="s">
        <v>605</v>
      </c>
      <c r="J117" s="5" t="s">
        <v>606</v>
      </c>
      <c r="K117" s="8" t="s">
        <v>94</v>
      </c>
      <c r="L117" s="9" t="s">
        <v>95</v>
      </c>
      <c r="M117" s="10"/>
      <c r="N117" s="10"/>
      <c r="O117" s="10"/>
      <c r="P117" s="5" t="s">
        <v>102</v>
      </c>
    </row>
    <row r="118" customFormat="false" ht="55.2" hidden="false" customHeight="false" outlineLevel="0" collapsed="false">
      <c r="A118" s="5" t="n">
        <v>117</v>
      </c>
      <c r="B118" s="5" t="s">
        <v>87</v>
      </c>
      <c r="C118" s="5" t="n">
        <v>2</v>
      </c>
      <c r="D118" s="5" t="s">
        <v>11</v>
      </c>
      <c r="E118" s="5" t="s">
        <v>607</v>
      </c>
      <c r="F118" s="5" t="s">
        <v>608</v>
      </c>
      <c r="G118" s="5" t="s">
        <v>163</v>
      </c>
      <c r="H118" s="5" t="s">
        <v>609</v>
      </c>
      <c r="I118" s="8" t="s">
        <v>610</v>
      </c>
      <c r="J118" s="5" t="s">
        <v>611</v>
      </c>
      <c r="K118" s="8" t="s">
        <v>94</v>
      </c>
      <c r="L118" s="9" t="s">
        <v>95</v>
      </c>
      <c r="M118" s="10"/>
      <c r="N118" s="10"/>
      <c r="O118" s="10"/>
      <c r="P118" s="5" t="s">
        <v>102</v>
      </c>
    </row>
    <row r="119" customFormat="false" ht="41.75" hidden="false" customHeight="false" outlineLevel="0" collapsed="false">
      <c r="A119" s="5" t="n">
        <v>118</v>
      </c>
      <c r="B119" s="5" t="s">
        <v>87</v>
      </c>
      <c r="C119" s="5" t="n">
        <v>2</v>
      </c>
      <c r="D119" s="5" t="s">
        <v>10</v>
      </c>
      <c r="E119" s="5" t="s">
        <v>612</v>
      </c>
      <c r="F119" s="5" t="s">
        <v>613</v>
      </c>
      <c r="G119" s="5" t="s">
        <v>163</v>
      </c>
      <c r="H119" s="5" t="s">
        <v>614</v>
      </c>
      <c r="I119" s="8" t="s">
        <v>615</v>
      </c>
      <c r="J119" s="5" t="s">
        <v>616</v>
      </c>
      <c r="K119" s="8" t="s">
        <v>94</v>
      </c>
      <c r="L119" s="9" t="s">
        <v>95</v>
      </c>
      <c r="M119" s="10"/>
      <c r="N119" s="10"/>
      <c r="O119" s="10"/>
      <c r="P119" s="5" t="s">
        <v>96</v>
      </c>
    </row>
    <row r="120" customFormat="false" ht="15" hidden="false" customHeight="false" outlineLevel="0" collapsed="false">
      <c r="A120" s="5" t="n">
        <v>119</v>
      </c>
      <c r="B120" s="5" t="s">
        <v>87</v>
      </c>
      <c r="C120" s="5" t="n">
        <v>2</v>
      </c>
      <c r="D120" s="5" t="s">
        <v>10</v>
      </c>
      <c r="E120" s="5" t="s">
        <v>617</v>
      </c>
      <c r="F120" s="5" t="s">
        <v>507</v>
      </c>
      <c r="G120" s="5" t="s">
        <v>163</v>
      </c>
      <c r="H120" s="5" t="s">
        <v>618</v>
      </c>
      <c r="I120" s="5"/>
      <c r="J120" s="5"/>
      <c r="K120" s="8" t="s">
        <v>94</v>
      </c>
      <c r="L120" s="9" t="s">
        <v>95</v>
      </c>
      <c r="M120" s="10"/>
      <c r="N120" s="10"/>
      <c r="O120" s="10"/>
      <c r="P120" s="5" t="s">
        <v>112</v>
      </c>
    </row>
    <row r="121" customFormat="false" ht="55.2" hidden="false" customHeight="false" outlineLevel="0" collapsed="false">
      <c r="A121" s="5" t="n">
        <v>120</v>
      </c>
      <c r="B121" s="5" t="s">
        <v>87</v>
      </c>
      <c r="C121" s="5" t="n">
        <v>2</v>
      </c>
      <c r="D121" s="5" t="s">
        <v>11</v>
      </c>
      <c r="E121" s="5" t="s">
        <v>619</v>
      </c>
      <c r="F121" s="5" t="s">
        <v>620</v>
      </c>
      <c r="G121" s="5" t="s">
        <v>163</v>
      </c>
      <c r="H121" s="5" t="s">
        <v>621</v>
      </c>
      <c r="I121" s="8" t="s">
        <v>622</v>
      </c>
      <c r="J121" s="5" t="s">
        <v>623</v>
      </c>
      <c r="K121" s="8" t="s">
        <v>94</v>
      </c>
      <c r="L121" s="9" t="s">
        <v>95</v>
      </c>
      <c r="M121" s="10"/>
      <c r="N121" s="10"/>
      <c r="O121" s="10"/>
      <c r="P121" s="5" t="s">
        <v>102</v>
      </c>
    </row>
    <row r="122" customFormat="false" ht="41.75" hidden="false" customHeight="false" outlineLevel="0" collapsed="false">
      <c r="A122" s="5" t="n">
        <v>121</v>
      </c>
      <c r="B122" s="5" t="s">
        <v>87</v>
      </c>
      <c r="C122" s="5" t="n">
        <v>2</v>
      </c>
      <c r="D122" s="5" t="s">
        <v>10</v>
      </c>
      <c r="E122" s="5" t="s">
        <v>624</v>
      </c>
      <c r="F122" s="5" t="s">
        <v>625</v>
      </c>
      <c r="G122" s="5" t="s">
        <v>163</v>
      </c>
      <c r="H122" s="5" t="s">
        <v>626</v>
      </c>
      <c r="I122" s="8" t="s">
        <v>627</v>
      </c>
      <c r="J122" s="5" t="s">
        <v>628</v>
      </c>
      <c r="K122" s="8" t="s">
        <v>94</v>
      </c>
      <c r="L122" s="9" t="s">
        <v>95</v>
      </c>
      <c r="M122" s="10"/>
      <c r="N122" s="10"/>
      <c r="O122" s="10"/>
      <c r="P122" s="5" t="s">
        <v>102</v>
      </c>
    </row>
    <row r="123" customFormat="false" ht="55.2" hidden="false" customHeight="false" outlineLevel="0" collapsed="false">
      <c r="A123" s="5" t="n">
        <v>122</v>
      </c>
      <c r="B123" s="5" t="s">
        <v>87</v>
      </c>
      <c r="C123" s="5" t="n">
        <v>2</v>
      </c>
      <c r="D123" s="5" t="s">
        <v>11</v>
      </c>
      <c r="E123" s="5" t="s">
        <v>629</v>
      </c>
      <c r="F123" s="5" t="s">
        <v>507</v>
      </c>
      <c r="G123" s="5" t="s">
        <v>163</v>
      </c>
      <c r="H123" s="5" t="s">
        <v>630</v>
      </c>
      <c r="I123" s="8" t="s">
        <v>631</v>
      </c>
      <c r="J123" s="5" t="s">
        <v>632</v>
      </c>
      <c r="K123" s="8" t="s">
        <v>94</v>
      </c>
      <c r="L123" s="9" t="s">
        <v>95</v>
      </c>
      <c r="M123" s="10"/>
      <c r="N123" s="10"/>
      <c r="O123" s="10"/>
      <c r="P123" s="5" t="s">
        <v>102</v>
      </c>
    </row>
    <row r="124" customFormat="false" ht="41.75" hidden="false" customHeight="false" outlineLevel="0" collapsed="false">
      <c r="A124" s="5" t="n">
        <v>123</v>
      </c>
      <c r="B124" s="5" t="s">
        <v>87</v>
      </c>
      <c r="C124" s="5" t="n">
        <v>2</v>
      </c>
      <c r="D124" s="5" t="s">
        <v>10</v>
      </c>
      <c r="E124" s="5" t="s">
        <v>633</v>
      </c>
      <c r="F124" s="5" t="s">
        <v>634</v>
      </c>
      <c r="G124" s="5" t="s">
        <v>163</v>
      </c>
      <c r="H124" s="5" t="s">
        <v>635</v>
      </c>
      <c r="I124" s="8" t="s">
        <v>636</v>
      </c>
      <c r="J124" s="5" t="s">
        <v>637</v>
      </c>
      <c r="K124" s="8" t="s">
        <v>94</v>
      </c>
      <c r="L124" s="9" t="s">
        <v>95</v>
      </c>
      <c r="M124" s="10"/>
      <c r="N124" s="10"/>
      <c r="O124" s="10"/>
      <c r="P124" s="5" t="s">
        <v>96</v>
      </c>
    </row>
    <row r="125" customFormat="false" ht="41.75" hidden="false" customHeight="false" outlineLevel="0" collapsed="false">
      <c r="A125" s="5" t="n">
        <v>124</v>
      </c>
      <c r="B125" s="5" t="s">
        <v>87</v>
      </c>
      <c r="C125" s="5" t="n">
        <v>2</v>
      </c>
      <c r="D125" s="5" t="s">
        <v>10</v>
      </c>
      <c r="E125" s="5" t="s">
        <v>638</v>
      </c>
      <c r="F125" s="5" t="s">
        <v>531</v>
      </c>
      <c r="G125" s="5" t="s">
        <v>163</v>
      </c>
      <c r="H125" s="5" t="s">
        <v>639</v>
      </c>
      <c r="I125" s="8" t="s">
        <v>640</v>
      </c>
      <c r="J125" s="5" t="s">
        <v>641</v>
      </c>
      <c r="K125" s="8" t="s">
        <v>94</v>
      </c>
      <c r="L125" s="9" t="s">
        <v>95</v>
      </c>
      <c r="M125" s="10"/>
      <c r="N125" s="10"/>
      <c r="O125" s="10"/>
      <c r="P125" s="5" t="s">
        <v>102</v>
      </c>
    </row>
    <row r="126" customFormat="false" ht="55.2" hidden="false" customHeight="false" outlineLevel="0" collapsed="false">
      <c r="A126" s="5" t="n">
        <v>125</v>
      </c>
      <c r="B126" s="5" t="s">
        <v>87</v>
      </c>
      <c r="C126" s="5" t="n">
        <v>2</v>
      </c>
      <c r="D126" s="5" t="s">
        <v>10</v>
      </c>
      <c r="E126" s="5" t="s">
        <v>642</v>
      </c>
      <c r="F126" s="5" t="s">
        <v>284</v>
      </c>
      <c r="G126" s="5" t="s">
        <v>163</v>
      </c>
      <c r="H126" s="5" t="s">
        <v>643</v>
      </c>
      <c r="I126" s="8" t="s">
        <v>644</v>
      </c>
      <c r="J126" s="5" t="s">
        <v>645</v>
      </c>
      <c r="K126" s="8" t="s">
        <v>94</v>
      </c>
      <c r="L126" s="9" t="s">
        <v>95</v>
      </c>
      <c r="M126" s="10"/>
      <c r="N126" s="10"/>
      <c r="O126" s="10"/>
      <c r="P126" s="5" t="s">
        <v>102</v>
      </c>
    </row>
    <row r="127" customFormat="false" ht="15" hidden="false" customHeight="false" outlineLevel="0" collapsed="false">
      <c r="A127" s="5" t="n">
        <v>126</v>
      </c>
      <c r="B127" s="5" t="s">
        <v>87</v>
      </c>
      <c r="C127" s="5" t="n">
        <v>2</v>
      </c>
      <c r="D127" s="5" t="s">
        <v>10</v>
      </c>
      <c r="E127" s="5" t="s">
        <v>646</v>
      </c>
      <c r="F127" s="5" t="s">
        <v>647</v>
      </c>
      <c r="G127" s="5" t="s">
        <v>163</v>
      </c>
      <c r="H127" s="5" t="s">
        <v>648</v>
      </c>
      <c r="I127" s="5"/>
      <c r="J127" s="5"/>
      <c r="K127" s="8" t="s">
        <v>94</v>
      </c>
      <c r="L127" s="9" t="s">
        <v>95</v>
      </c>
      <c r="M127" s="10"/>
      <c r="N127" s="10"/>
      <c r="O127" s="10"/>
      <c r="P127" s="5" t="s">
        <v>112</v>
      </c>
    </row>
    <row r="128" customFormat="false" ht="41.75" hidden="false" customHeight="false" outlineLevel="0" collapsed="false">
      <c r="A128" s="5" t="n">
        <v>127</v>
      </c>
      <c r="B128" s="5" t="s">
        <v>87</v>
      </c>
      <c r="C128" s="5" t="n">
        <v>2</v>
      </c>
      <c r="D128" s="5" t="s">
        <v>14</v>
      </c>
      <c r="E128" s="5" t="s">
        <v>649</v>
      </c>
      <c r="F128" s="5" t="s">
        <v>650</v>
      </c>
      <c r="G128" s="5" t="s">
        <v>163</v>
      </c>
      <c r="H128" s="5" t="s">
        <v>651</v>
      </c>
      <c r="I128" s="8" t="s">
        <v>652</v>
      </c>
      <c r="J128" s="5" t="s">
        <v>653</v>
      </c>
      <c r="K128" s="8" t="s">
        <v>94</v>
      </c>
      <c r="L128" s="9" t="s">
        <v>95</v>
      </c>
      <c r="M128" s="10"/>
      <c r="N128" s="10"/>
      <c r="O128" s="10"/>
      <c r="P128" s="5" t="s">
        <v>102</v>
      </c>
    </row>
    <row r="129" customFormat="false" ht="41.75" hidden="false" customHeight="false" outlineLevel="0" collapsed="false">
      <c r="A129" s="5" t="n">
        <v>128</v>
      </c>
      <c r="B129" s="5" t="s">
        <v>87</v>
      </c>
      <c r="C129" s="5" t="n">
        <v>2</v>
      </c>
      <c r="D129" s="5" t="s">
        <v>16</v>
      </c>
      <c r="E129" s="5" t="s">
        <v>654</v>
      </c>
      <c r="F129" s="5" t="s">
        <v>655</v>
      </c>
      <c r="G129" s="5" t="s">
        <v>163</v>
      </c>
      <c r="H129" s="5" t="s">
        <v>656</v>
      </c>
      <c r="I129" s="8" t="s">
        <v>657</v>
      </c>
      <c r="J129" s="5" t="s">
        <v>658</v>
      </c>
      <c r="K129" s="8" t="s">
        <v>94</v>
      </c>
      <c r="L129" s="9" t="s">
        <v>95</v>
      </c>
      <c r="M129" s="10"/>
      <c r="N129" s="10"/>
      <c r="O129" s="10"/>
      <c r="P129" s="5" t="s">
        <v>96</v>
      </c>
    </row>
    <row r="130" customFormat="false" ht="68.65" hidden="false" customHeight="false" outlineLevel="0" collapsed="false">
      <c r="A130" s="5" t="n">
        <v>129</v>
      </c>
      <c r="B130" s="5" t="s">
        <v>87</v>
      </c>
      <c r="C130" s="5" t="n">
        <v>2</v>
      </c>
      <c r="D130" s="5" t="s">
        <v>17</v>
      </c>
      <c r="E130" s="5" t="s">
        <v>659</v>
      </c>
      <c r="F130" s="5" t="s">
        <v>660</v>
      </c>
      <c r="G130" s="5" t="s">
        <v>163</v>
      </c>
      <c r="H130" s="5" t="s">
        <v>661</v>
      </c>
      <c r="I130" s="8" t="s">
        <v>662</v>
      </c>
      <c r="J130" s="5" t="s">
        <v>663</v>
      </c>
      <c r="K130" s="8" t="s">
        <v>94</v>
      </c>
      <c r="L130" s="9" t="s">
        <v>95</v>
      </c>
      <c r="M130" s="10"/>
      <c r="N130" s="10"/>
      <c r="O130" s="10"/>
      <c r="P130" s="5" t="s">
        <v>96</v>
      </c>
    </row>
    <row r="131" customFormat="false" ht="28.35" hidden="false" customHeight="false" outlineLevel="0" collapsed="false">
      <c r="A131" s="5" t="n">
        <v>130</v>
      </c>
      <c r="B131" s="5" t="s">
        <v>87</v>
      </c>
      <c r="C131" s="5" t="n">
        <v>2</v>
      </c>
      <c r="D131" s="5" t="s">
        <v>14</v>
      </c>
      <c r="E131" s="5" t="s">
        <v>664</v>
      </c>
      <c r="F131" s="5" t="s">
        <v>665</v>
      </c>
      <c r="G131" s="5" t="s">
        <v>163</v>
      </c>
      <c r="H131" s="5" t="s">
        <v>666</v>
      </c>
      <c r="I131" s="5"/>
      <c r="J131" s="5"/>
      <c r="K131" s="8" t="s">
        <v>94</v>
      </c>
      <c r="L131" s="9" t="s">
        <v>95</v>
      </c>
      <c r="M131" s="10"/>
      <c r="N131" s="10"/>
      <c r="O131" s="10"/>
      <c r="P131" s="5" t="s">
        <v>112</v>
      </c>
    </row>
    <row r="132" customFormat="false" ht="41.75" hidden="false" customHeight="false" outlineLevel="0" collapsed="false">
      <c r="A132" s="5" t="n">
        <v>131</v>
      </c>
      <c r="B132" s="5" t="s">
        <v>87</v>
      </c>
      <c r="C132" s="5" t="n">
        <v>2</v>
      </c>
      <c r="D132" s="5" t="s">
        <v>14</v>
      </c>
      <c r="E132" s="5" t="s">
        <v>667</v>
      </c>
      <c r="F132" s="5" t="s">
        <v>668</v>
      </c>
      <c r="G132" s="5" t="s">
        <v>163</v>
      </c>
      <c r="H132" s="5" t="s">
        <v>669</v>
      </c>
      <c r="I132" s="5"/>
      <c r="J132" s="5"/>
      <c r="K132" s="8" t="s">
        <v>94</v>
      </c>
      <c r="L132" s="9" t="s">
        <v>95</v>
      </c>
      <c r="M132" s="10"/>
      <c r="N132" s="10"/>
      <c r="O132" s="10"/>
      <c r="P132" s="5" t="s">
        <v>96</v>
      </c>
    </row>
    <row r="133" customFormat="false" ht="41.75" hidden="false" customHeight="false" outlineLevel="0" collapsed="false">
      <c r="A133" s="5" t="n">
        <v>132</v>
      </c>
      <c r="B133" s="5" t="s">
        <v>87</v>
      </c>
      <c r="C133" s="5" t="n">
        <v>2</v>
      </c>
      <c r="D133" s="5" t="s">
        <v>16</v>
      </c>
      <c r="E133" s="5" t="s">
        <v>670</v>
      </c>
      <c r="F133" s="5" t="s">
        <v>671</v>
      </c>
      <c r="G133" s="5" t="s">
        <v>163</v>
      </c>
      <c r="H133" s="5" t="s">
        <v>672</v>
      </c>
      <c r="I133" s="8" t="s">
        <v>673</v>
      </c>
      <c r="J133" s="5" t="s">
        <v>674</v>
      </c>
      <c r="K133" s="8" t="s">
        <v>94</v>
      </c>
      <c r="L133" s="9" t="s">
        <v>95</v>
      </c>
      <c r="M133" s="10"/>
      <c r="N133" s="10"/>
      <c r="O133" s="10"/>
      <c r="P133" s="5" t="s">
        <v>102</v>
      </c>
    </row>
    <row r="134" customFormat="false" ht="41.75" hidden="false" customHeight="false" outlineLevel="0" collapsed="false">
      <c r="A134" s="5" t="n">
        <v>133</v>
      </c>
      <c r="B134" s="5" t="s">
        <v>87</v>
      </c>
      <c r="C134" s="5" t="n">
        <v>2</v>
      </c>
      <c r="D134" s="5" t="s">
        <v>10</v>
      </c>
      <c r="E134" s="5" t="s">
        <v>675</v>
      </c>
      <c r="F134" s="5" t="s">
        <v>522</v>
      </c>
      <c r="G134" s="5" t="s">
        <v>163</v>
      </c>
      <c r="H134" s="5" t="s">
        <v>676</v>
      </c>
      <c r="I134" s="8" t="s">
        <v>677</v>
      </c>
      <c r="J134" s="5" t="s">
        <v>678</v>
      </c>
      <c r="K134" s="8" t="s">
        <v>94</v>
      </c>
      <c r="L134" s="9" t="s">
        <v>95</v>
      </c>
      <c r="M134" s="10"/>
      <c r="N134" s="10"/>
      <c r="O134" s="10"/>
      <c r="P134" s="5" t="s">
        <v>102</v>
      </c>
    </row>
    <row r="135" customFormat="false" ht="41.75" hidden="false" customHeight="false" outlineLevel="0" collapsed="false">
      <c r="A135" s="5" t="n">
        <v>134</v>
      </c>
      <c r="B135" s="5" t="s">
        <v>87</v>
      </c>
      <c r="C135" s="5" t="n">
        <v>2</v>
      </c>
      <c r="D135" s="5" t="s">
        <v>11</v>
      </c>
      <c r="E135" s="5" t="s">
        <v>679</v>
      </c>
      <c r="F135" s="5" t="s">
        <v>177</v>
      </c>
      <c r="G135" s="5" t="s">
        <v>163</v>
      </c>
      <c r="H135" s="5" t="s">
        <v>680</v>
      </c>
      <c r="I135" s="8" t="s">
        <v>681</v>
      </c>
      <c r="J135" s="5" t="s">
        <v>682</v>
      </c>
      <c r="K135" s="8" t="s">
        <v>94</v>
      </c>
      <c r="L135" s="9" t="s">
        <v>95</v>
      </c>
      <c r="M135" s="10"/>
      <c r="N135" s="10"/>
      <c r="O135" s="10"/>
      <c r="P135" s="5" t="s">
        <v>102</v>
      </c>
    </row>
    <row r="136" customFormat="false" ht="41.75" hidden="false" customHeight="false" outlineLevel="0" collapsed="false">
      <c r="A136" s="5" t="n">
        <v>135</v>
      </c>
      <c r="B136" s="5" t="s">
        <v>87</v>
      </c>
      <c r="C136" s="5" t="n">
        <v>2</v>
      </c>
      <c r="D136" s="5" t="s">
        <v>14</v>
      </c>
      <c r="E136" s="5" t="s">
        <v>683</v>
      </c>
      <c r="F136" s="5" t="s">
        <v>684</v>
      </c>
      <c r="G136" s="5" t="s">
        <v>163</v>
      </c>
      <c r="H136" s="5" t="s">
        <v>685</v>
      </c>
      <c r="I136" s="8" t="s">
        <v>686</v>
      </c>
      <c r="J136" s="5" t="s">
        <v>687</v>
      </c>
      <c r="K136" s="8" t="s">
        <v>94</v>
      </c>
      <c r="L136" s="9" t="s">
        <v>95</v>
      </c>
      <c r="M136" s="10"/>
      <c r="N136" s="10"/>
      <c r="O136" s="10"/>
      <c r="P136" s="5" t="s">
        <v>102</v>
      </c>
    </row>
    <row r="137" customFormat="false" ht="41.75" hidden="false" customHeight="false" outlineLevel="0" collapsed="false">
      <c r="A137" s="5" t="n">
        <v>136</v>
      </c>
      <c r="B137" s="5" t="s">
        <v>87</v>
      </c>
      <c r="C137" s="5" t="n">
        <v>2</v>
      </c>
      <c r="D137" s="5" t="s">
        <v>14</v>
      </c>
      <c r="E137" s="5" t="s">
        <v>688</v>
      </c>
      <c r="F137" s="5" t="s">
        <v>689</v>
      </c>
      <c r="G137" s="5" t="s">
        <v>163</v>
      </c>
      <c r="H137" s="5" t="s">
        <v>690</v>
      </c>
      <c r="I137" s="8" t="s">
        <v>691</v>
      </c>
      <c r="J137" s="5" t="s">
        <v>692</v>
      </c>
      <c r="K137" s="8" t="s">
        <v>94</v>
      </c>
      <c r="L137" s="9" t="s">
        <v>95</v>
      </c>
      <c r="M137" s="10"/>
      <c r="N137" s="10"/>
      <c r="O137" s="10"/>
      <c r="P137" s="5" t="s">
        <v>96</v>
      </c>
    </row>
    <row r="138" customFormat="false" ht="41.75" hidden="false" customHeight="false" outlineLevel="0" collapsed="false">
      <c r="A138" s="5" t="n">
        <v>137</v>
      </c>
      <c r="B138" s="5" t="s">
        <v>87</v>
      </c>
      <c r="C138" s="5" t="n">
        <v>2</v>
      </c>
      <c r="D138" s="5" t="s">
        <v>15</v>
      </c>
      <c r="E138" s="5" t="s">
        <v>693</v>
      </c>
      <c r="F138" s="5" t="s">
        <v>694</v>
      </c>
      <c r="G138" s="5" t="s">
        <v>163</v>
      </c>
      <c r="H138" s="5" t="s">
        <v>695</v>
      </c>
      <c r="I138" s="5"/>
      <c r="J138" s="5"/>
      <c r="K138" s="8" t="s">
        <v>94</v>
      </c>
      <c r="L138" s="9" t="s">
        <v>95</v>
      </c>
      <c r="M138" s="10"/>
      <c r="N138" s="10"/>
      <c r="O138" s="10"/>
      <c r="P138" s="5" t="s">
        <v>96</v>
      </c>
    </row>
    <row r="139" customFormat="false" ht="41.75" hidden="false" customHeight="false" outlineLevel="0" collapsed="false">
      <c r="A139" s="5" t="n">
        <v>138</v>
      </c>
      <c r="B139" s="5" t="s">
        <v>87</v>
      </c>
      <c r="C139" s="5" t="n">
        <v>2</v>
      </c>
      <c r="D139" s="5" t="s">
        <v>11</v>
      </c>
      <c r="E139" s="5" t="s">
        <v>696</v>
      </c>
      <c r="F139" s="5" t="s">
        <v>697</v>
      </c>
      <c r="G139" s="5" t="s">
        <v>163</v>
      </c>
      <c r="H139" s="5" t="s">
        <v>698</v>
      </c>
      <c r="I139" s="8" t="s">
        <v>699</v>
      </c>
      <c r="J139" s="5" t="s">
        <v>700</v>
      </c>
      <c r="K139" s="8" t="s">
        <v>94</v>
      </c>
      <c r="L139" s="9" t="s">
        <v>95</v>
      </c>
      <c r="M139" s="10"/>
      <c r="N139" s="10"/>
      <c r="O139" s="10"/>
      <c r="P139" s="5" t="s">
        <v>102</v>
      </c>
    </row>
    <row r="140" customFormat="false" ht="41.75" hidden="false" customHeight="false" outlineLevel="0" collapsed="false">
      <c r="A140" s="5" t="n">
        <v>139</v>
      </c>
      <c r="B140" s="5" t="s">
        <v>87</v>
      </c>
      <c r="C140" s="5" t="n">
        <v>2</v>
      </c>
      <c r="D140" s="5" t="s">
        <v>13</v>
      </c>
      <c r="E140" s="5" t="s">
        <v>701</v>
      </c>
      <c r="F140" s="5" t="s">
        <v>702</v>
      </c>
      <c r="G140" s="5" t="s">
        <v>163</v>
      </c>
      <c r="H140" s="5" t="s">
        <v>703</v>
      </c>
      <c r="I140" s="5"/>
      <c r="J140" s="5"/>
      <c r="K140" s="8" t="s">
        <v>94</v>
      </c>
      <c r="L140" s="9" t="s">
        <v>95</v>
      </c>
      <c r="M140" s="10"/>
      <c r="N140" s="10"/>
      <c r="O140" s="10"/>
      <c r="P140" s="5" t="s">
        <v>96</v>
      </c>
    </row>
    <row r="141" customFormat="false" ht="41.75" hidden="false" customHeight="false" outlineLevel="0" collapsed="false">
      <c r="A141" s="5" t="n">
        <v>140</v>
      </c>
      <c r="B141" s="5" t="s">
        <v>87</v>
      </c>
      <c r="C141" s="5" t="n">
        <v>2</v>
      </c>
      <c r="D141" s="5" t="s">
        <v>10</v>
      </c>
      <c r="E141" s="5" t="s">
        <v>704</v>
      </c>
      <c r="F141" s="5" t="s">
        <v>705</v>
      </c>
      <c r="G141" s="5" t="s">
        <v>163</v>
      </c>
      <c r="H141" s="5" t="s">
        <v>706</v>
      </c>
      <c r="I141" s="8" t="s">
        <v>707</v>
      </c>
      <c r="J141" s="5" t="s">
        <v>708</v>
      </c>
      <c r="K141" s="8" t="s">
        <v>94</v>
      </c>
      <c r="L141" s="9" t="s">
        <v>95</v>
      </c>
      <c r="M141" s="10"/>
      <c r="N141" s="10"/>
      <c r="O141" s="10"/>
      <c r="P141" s="5" t="s">
        <v>102</v>
      </c>
    </row>
    <row r="142" customFormat="false" ht="41.75" hidden="false" customHeight="false" outlineLevel="0" collapsed="false">
      <c r="A142" s="5" t="n">
        <v>141</v>
      </c>
      <c r="B142" s="5" t="s">
        <v>87</v>
      </c>
      <c r="C142" s="5" t="n">
        <v>2</v>
      </c>
      <c r="D142" s="5" t="s">
        <v>13</v>
      </c>
      <c r="E142" s="5" t="s">
        <v>709</v>
      </c>
      <c r="F142" s="5" t="s">
        <v>258</v>
      </c>
      <c r="G142" s="5" t="s">
        <v>163</v>
      </c>
      <c r="H142" s="5" t="s">
        <v>710</v>
      </c>
      <c r="I142" s="8" t="s">
        <v>711</v>
      </c>
      <c r="J142" s="5" t="s">
        <v>712</v>
      </c>
      <c r="K142" s="8" t="s">
        <v>94</v>
      </c>
      <c r="L142" s="9" t="s">
        <v>95</v>
      </c>
      <c r="M142" s="10"/>
      <c r="N142" s="10"/>
      <c r="O142" s="10"/>
      <c r="P142" s="5" t="s">
        <v>102</v>
      </c>
    </row>
    <row r="143" customFormat="false" ht="28.35" hidden="false" customHeight="false" outlineLevel="0" collapsed="false">
      <c r="A143" s="5" t="n">
        <v>142</v>
      </c>
      <c r="B143" s="5" t="s">
        <v>87</v>
      </c>
      <c r="C143" s="5" t="n">
        <v>2</v>
      </c>
      <c r="D143" s="5" t="s">
        <v>10</v>
      </c>
      <c r="E143" s="5" t="s">
        <v>713</v>
      </c>
      <c r="F143" s="5" t="s">
        <v>714</v>
      </c>
      <c r="G143" s="5" t="s">
        <v>163</v>
      </c>
      <c r="H143" s="5" t="s">
        <v>715</v>
      </c>
      <c r="I143" s="5"/>
      <c r="J143" s="5"/>
      <c r="K143" s="8" t="s">
        <v>94</v>
      </c>
      <c r="L143" s="9" t="s">
        <v>95</v>
      </c>
      <c r="M143" s="10"/>
      <c r="N143" s="10"/>
      <c r="O143" s="10"/>
      <c r="P143" s="5" t="s">
        <v>112</v>
      </c>
    </row>
    <row r="144" customFormat="false" ht="28.35" hidden="false" customHeight="false" outlineLevel="0" collapsed="false">
      <c r="A144" s="5" t="n">
        <v>143</v>
      </c>
      <c r="B144" s="5" t="s">
        <v>87</v>
      </c>
      <c r="C144" s="5" t="n">
        <v>2</v>
      </c>
      <c r="D144" s="5" t="s">
        <v>10</v>
      </c>
      <c r="E144" s="5" t="s">
        <v>716</v>
      </c>
      <c r="F144" s="5" t="s">
        <v>531</v>
      </c>
      <c r="G144" s="5" t="s">
        <v>163</v>
      </c>
      <c r="H144" s="5" t="s">
        <v>717</v>
      </c>
      <c r="I144" s="5"/>
      <c r="J144" s="5"/>
      <c r="K144" s="8" t="s">
        <v>94</v>
      </c>
      <c r="L144" s="9" t="s">
        <v>95</v>
      </c>
      <c r="M144" s="10"/>
      <c r="N144" s="10"/>
      <c r="O144" s="10"/>
      <c r="P144" s="5" t="s">
        <v>112</v>
      </c>
    </row>
    <row r="145" customFormat="false" ht="41.75" hidden="false" customHeight="false" outlineLevel="0" collapsed="false">
      <c r="A145" s="5" t="n">
        <v>144</v>
      </c>
      <c r="B145" s="5" t="s">
        <v>87</v>
      </c>
      <c r="C145" s="5" t="n">
        <v>2</v>
      </c>
      <c r="D145" s="5" t="s">
        <v>16</v>
      </c>
      <c r="E145" s="5" t="s">
        <v>718</v>
      </c>
      <c r="F145" s="5" t="s">
        <v>719</v>
      </c>
      <c r="G145" s="5" t="s">
        <v>163</v>
      </c>
      <c r="H145" s="5" t="s">
        <v>720</v>
      </c>
      <c r="I145" s="8" t="s">
        <v>721</v>
      </c>
      <c r="J145" s="5" t="s">
        <v>722</v>
      </c>
      <c r="K145" s="8" t="s">
        <v>94</v>
      </c>
      <c r="L145" s="9" t="s">
        <v>95</v>
      </c>
      <c r="M145" s="10"/>
      <c r="N145" s="10"/>
      <c r="O145" s="10"/>
      <c r="P145" s="5" t="s">
        <v>102</v>
      </c>
    </row>
    <row r="146" customFormat="false" ht="41.75" hidden="false" customHeight="false" outlineLevel="0" collapsed="false">
      <c r="A146" s="5" t="n">
        <v>145</v>
      </c>
      <c r="B146" s="5" t="s">
        <v>87</v>
      </c>
      <c r="C146" s="5" t="n">
        <v>2</v>
      </c>
      <c r="D146" s="5" t="s">
        <v>17</v>
      </c>
      <c r="E146" s="5" t="s">
        <v>723</v>
      </c>
      <c r="F146" s="5" t="s">
        <v>724</v>
      </c>
      <c r="G146" s="5" t="s">
        <v>163</v>
      </c>
      <c r="H146" s="5" t="s">
        <v>725</v>
      </c>
      <c r="I146" s="8" t="s">
        <v>726</v>
      </c>
      <c r="J146" s="5" t="s">
        <v>727</v>
      </c>
      <c r="K146" s="8" t="s">
        <v>94</v>
      </c>
      <c r="L146" s="9" t="s">
        <v>95</v>
      </c>
      <c r="M146" s="10"/>
      <c r="N146" s="10"/>
      <c r="O146" s="10"/>
      <c r="P146" s="5" t="s">
        <v>96</v>
      </c>
    </row>
    <row r="147" customFormat="false" ht="41.75" hidden="false" customHeight="false" outlineLevel="0" collapsed="false">
      <c r="A147" s="5" t="n">
        <v>146</v>
      </c>
      <c r="B147" s="5" t="s">
        <v>87</v>
      </c>
      <c r="C147" s="5" t="n">
        <v>2</v>
      </c>
      <c r="D147" s="5" t="s">
        <v>23</v>
      </c>
      <c r="E147" s="5" t="s">
        <v>728</v>
      </c>
      <c r="F147" s="5" t="s">
        <v>671</v>
      </c>
      <c r="G147" s="5" t="s">
        <v>163</v>
      </c>
      <c r="H147" s="5" t="s">
        <v>729</v>
      </c>
      <c r="I147" s="8" t="s">
        <v>730</v>
      </c>
      <c r="J147" s="5"/>
      <c r="K147" s="8" t="s">
        <v>94</v>
      </c>
      <c r="L147" s="9" t="s">
        <v>95</v>
      </c>
      <c r="M147" s="10"/>
      <c r="N147" s="10"/>
      <c r="O147" s="10"/>
      <c r="P147" s="5" t="s">
        <v>102</v>
      </c>
    </row>
    <row r="148" customFormat="false" ht="41.75" hidden="false" customHeight="false" outlineLevel="0" collapsed="false">
      <c r="A148" s="5" t="n">
        <v>147</v>
      </c>
      <c r="B148" s="5" t="s">
        <v>87</v>
      </c>
      <c r="C148" s="5" t="n">
        <v>3</v>
      </c>
      <c r="D148" s="5" t="s">
        <v>21</v>
      </c>
      <c r="E148" s="5" t="s">
        <v>731</v>
      </c>
      <c r="F148" s="5" t="s">
        <v>129</v>
      </c>
      <c r="G148" s="5" t="s">
        <v>90</v>
      </c>
      <c r="H148" s="5" t="s">
        <v>732</v>
      </c>
      <c r="I148" s="8" t="s">
        <v>733</v>
      </c>
      <c r="J148" s="5" t="s">
        <v>734</v>
      </c>
      <c r="K148" s="8" t="s">
        <v>94</v>
      </c>
      <c r="L148" s="9" t="s">
        <v>95</v>
      </c>
      <c r="M148" s="10"/>
      <c r="N148" s="10"/>
      <c r="O148" s="10"/>
      <c r="P148" s="5" t="s">
        <v>102</v>
      </c>
    </row>
    <row r="149" customFormat="false" ht="55.2" hidden="false" customHeight="false" outlineLevel="0" collapsed="false">
      <c r="A149" s="5" t="n">
        <v>148</v>
      </c>
      <c r="B149" s="5" t="s">
        <v>87</v>
      </c>
      <c r="C149" s="5" t="n">
        <v>3</v>
      </c>
      <c r="D149" s="5" t="s">
        <v>16</v>
      </c>
      <c r="E149" s="5" t="s">
        <v>735</v>
      </c>
      <c r="F149" s="5" t="s">
        <v>736</v>
      </c>
      <c r="G149" s="5" t="s">
        <v>90</v>
      </c>
      <c r="H149" s="5" t="s">
        <v>737</v>
      </c>
      <c r="I149" s="5"/>
      <c r="J149" s="5" t="s">
        <v>738</v>
      </c>
      <c r="K149" s="8" t="s">
        <v>94</v>
      </c>
      <c r="L149" s="9" t="s">
        <v>95</v>
      </c>
      <c r="M149" s="10"/>
      <c r="N149" s="10"/>
      <c r="O149" s="10"/>
      <c r="P149" s="5" t="s">
        <v>96</v>
      </c>
    </row>
    <row r="150" customFormat="false" ht="55.2" hidden="false" customHeight="false" outlineLevel="0" collapsed="false">
      <c r="A150" s="5" t="n">
        <v>149</v>
      </c>
      <c r="B150" s="5" t="s">
        <v>87</v>
      </c>
      <c r="C150" s="5" t="n">
        <v>3</v>
      </c>
      <c r="D150" s="5" t="s">
        <v>11</v>
      </c>
      <c r="E150" s="5" t="s">
        <v>739</v>
      </c>
      <c r="F150" s="5" t="s">
        <v>740</v>
      </c>
      <c r="G150" s="5" t="s">
        <v>90</v>
      </c>
      <c r="H150" s="5" t="s">
        <v>741</v>
      </c>
      <c r="I150" s="5"/>
      <c r="J150" s="5"/>
      <c r="K150" s="8" t="s">
        <v>94</v>
      </c>
      <c r="L150" s="9" t="s">
        <v>95</v>
      </c>
      <c r="M150" s="10"/>
      <c r="N150" s="10"/>
      <c r="O150" s="10"/>
      <c r="P150" s="5" t="s">
        <v>96</v>
      </c>
    </row>
    <row r="151" customFormat="false" ht="41.75" hidden="false" customHeight="false" outlineLevel="0" collapsed="false">
      <c r="A151" s="5" t="n">
        <v>150</v>
      </c>
      <c r="B151" s="5" t="s">
        <v>87</v>
      </c>
      <c r="C151" s="5" t="n">
        <v>3</v>
      </c>
      <c r="D151" s="5" t="s">
        <v>15</v>
      </c>
      <c r="E151" s="5" t="s">
        <v>742</v>
      </c>
      <c r="F151" s="5" t="s">
        <v>743</v>
      </c>
      <c r="G151" s="5" t="s">
        <v>90</v>
      </c>
      <c r="H151" s="5" t="s">
        <v>744</v>
      </c>
      <c r="I151" s="5"/>
      <c r="J151" s="5"/>
      <c r="K151" s="8" t="s">
        <v>94</v>
      </c>
      <c r="L151" s="9" t="s">
        <v>95</v>
      </c>
      <c r="M151" s="10"/>
      <c r="N151" s="10"/>
      <c r="O151" s="10"/>
      <c r="P151" s="5" t="s">
        <v>102</v>
      </c>
    </row>
    <row r="152" customFormat="false" ht="41.75" hidden="false" customHeight="false" outlineLevel="0" collapsed="false">
      <c r="A152" s="5" t="n">
        <v>151</v>
      </c>
      <c r="B152" s="5" t="s">
        <v>87</v>
      </c>
      <c r="C152" s="5" t="n">
        <v>3</v>
      </c>
      <c r="D152" s="5" t="s">
        <v>17</v>
      </c>
      <c r="E152" s="5" t="s">
        <v>745</v>
      </c>
      <c r="F152" s="5" t="s">
        <v>129</v>
      </c>
      <c r="G152" s="5" t="s">
        <v>90</v>
      </c>
      <c r="H152" s="5" t="s">
        <v>746</v>
      </c>
      <c r="I152" s="8" t="s">
        <v>747</v>
      </c>
      <c r="J152" s="5" t="s">
        <v>748</v>
      </c>
      <c r="K152" s="8" t="s">
        <v>94</v>
      </c>
      <c r="L152" s="9" t="s">
        <v>95</v>
      </c>
      <c r="M152" s="10"/>
      <c r="N152" s="10"/>
      <c r="O152" s="10"/>
      <c r="P152" s="5" t="s">
        <v>96</v>
      </c>
    </row>
    <row r="153" customFormat="false" ht="41.75" hidden="false" customHeight="false" outlineLevel="0" collapsed="false">
      <c r="A153" s="5" t="n">
        <v>152</v>
      </c>
      <c r="B153" s="5" t="s">
        <v>87</v>
      </c>
      <c r="C153" s="5" t="n">
        <v>3</v>
      </c>
      <c r="D153" s="5" t="s">
        <v>10</v>
      </c>
      <c r="E153" s="5" t="s">
        <v>749</v>
      </c>
      <c r="F153" s="5" t="s">
        <v>750</v>
      </c>
      <c r="G153" s="5" t="s">
        <v>90</v>
      </c>
      <c r="H153" s="5" t="s">
        <v>751</v>
      </c>
      <c r="I153" s="5"/>
      <c r="J153" s="5"/>
      <c r="K153" s="8" t="s">
        <v>94</v>
      </c>
      <c r="L153" s="9" t="s">
        <v>95</v>
      </c>
      <c r="M153" s="10"/>
      <c r="N153" s="10"/>
      <c r="O153" s="10"/>
      <c r="P153" s="5" t="s">
        <v>102</v>
      </c>
    </row>
    <row r="154" customFormat="false" ht="41.75" hidden="false" customHeight="false" outlineLevel="0" collapsed="false">
      <c r="A154" s="5" t="n">
        <v>153</v>
      </c>
      <c r="B154" s="5" t="s">
        <v>87</v>
      </c>
      <c r="C154" s="5" t="n">
        <v>3</v>
      </c>
      <c r="D154" s="5" t="s">
        <v>17</v>
      </c>
      <c r="E154" s="5" t="s">
        <v>752</v>
      </c>
      <c r="F154" s="5" t="s">
        <v>753</v>
      </c>
      <c r="G154" s="5" t="s">
        <v>90</v>
      </c>
      <c r="H154" s="5" t="s">
        <v>754</v>
      </c>
      <c r="I154" s="8" t="s">
        <v>755</v>
      </c>
      <c r="J154" s="5" t="s">
        <v>756</v>
      </c>
      <c r="K154" s="8" t="s">
        <v>94</v>
      </c>
      <c r="L154" s="9" t="s">
        <v>95</v>
      </c>
      <c r="M154" s="10"/>
      <c r="N154" s="10"/>
      <c r="O154" s="10"/>
      <c r="P154" s="5" t="s">
        <v>96</v>
      </c>
    </row>
    <row r="155" customFormat="false" ht="41.75" hidden="false" customHeight="false" outlineLevel="0" collapsed="false">
      <c r="A155" s="5" t="n">
        <v>154</v>
      </c>
      <c r="B155" s="5" t="s">
        <v>87</v>
      </c>
      <c r="C155" s="5" t="n">
        <v>3</v>
      </c>
      <c r="D155" s="5" t="s">
        <v>18</v>
      </c>
      <c r="E155" s="5" t="s">
        <v>757</v>
      </c>
      <c r="F155" s="5" t="s">
        <v>758</v>
      </c>
      <c r="G155" s="5" t="s">
        <v>90</v>
      </c>
      <c r="H155" s="5" t="s">
        <v>759</v>
      </c>
      <c r="I155" s="8" t="s">
        <v>760</v>
      </c>
      <c r="J155" s="5" t="s">
        <v>761</v>
      </c>
      <c r="K155" s="8" t="s">
        <v>94</v>
      </c>
      <c r="L155" s="9" t="s">
        <v>95</v>
      </c>
      <c r="M155" s="10"/>
      <c r="N155" s="10"/>
      <c r="O155" s="10"/>
      <c r="P155" s="5" t="s">
        <v>102</v>
      </c>
    </row>
    <row r="156" customFormat="false" ht="55.2" hidden="false" customHeight="false" outlineLevel="0" collapsed="false">
      <c r="A156" s="5" t="n">
        <v>155</v>
      </c>
      <c r="B156" s="5" t="s">
        <v>87</v>
      </c>
      <c r="C156" s="5" t="n">
        <v>3</v>
      </c>
      <c r="D156" s="5" t="s">
        <v>26</v>
      </c>
      <c r="E156" s="5" t="s">
        <v>762</v>
      </c>
      <c r="F156" s="5" t="s">
        <v>763</v>
      </c>
      <c r="G156" s="5" t="s">
        <v>90</v>
      </c>
      <c r="H156" s="5" t="s">
        <v>764</v>
      </c>
      <c r="I156" s="8" t="s">
        <v>765</v>
      </c>
      <c r="J156" s="5" t="s">
        <v>766</v>
      </c>
      <c r="K156" s="8" t="s">
        <v>94</v>
      </c>
      <c r="L156" s="9" t="s">
        <v>95</v>
      </c>
      <c r="M156" s="10"/>
      <c r="N156" s="10"/>
      <c r="O156" s="10"/>
      <c r="P156" s="5" t="s">
        <v>96</v>
      </c>
    </row>
    <row r="157" customFormat="false" ht="41.75" hidden="false" customHeight="false" outlineLevel="0" collapsed="false">
      <c r="A157" s="5" t="n">
        <v>156</v>
      </c>
      <c r="B157" s="5" t="s">
        <v>87</v>
      </c>
      <c r="C157" s="5" t="n">
        <v>3</v>
      </c>
      <c r="D157" s="5" t="s">
        <v>11</v>
      </c>
      <c r="E157" s="5" t="s">
        <v>767</v>
      </c>
      <c r="F157" s="5" t="s">
        <v>768</v>
      </c>
      <c r="G157" s="5" t="s">
        <v>90</v>
      </c>
      <c r="H157" s="5" t="s">
        <v>769</v>
      </c>
      <c r="I157" s="5"/>
      <c r="J157" s="5" t="s">
        <v>770</v>
      </c>
      <c r="K157" s="8" t="s">
        <v>94</v>
      </c>
      <c r="L157" s="9" t="s">
        <v>95</v>
      </c>
      <c r="M157" s="10"/>
      <c r="N157" s="10"/>
      <c r="O157" s="10"/>
      <c r="P157" s="5" t="s">
        <v>102</v>
      </c>
    </row>
    <row r="158" customFormat="false" ht="55.2" hidden="false" customHeight="false" outlineLevel="0" collapsed="false">
      <c r="A158" s="5" t="n">
        <v>157</v>
      </c>
      <c r="B158" s="5" t="s">
        <v>87</v>
      </c>
      <c r="C158" s="5" t="n">
        <v>3</v>
      </c>
      <c r="D158" s="5" t="s">
        <v>17</v>
      </c>
      <c r="E158" s="5" t="s">
        <v>771</v>
      </c>
      <c r="F158" s="5" t="s">
        <v>152</v>
      </c>
      <c r="G158" s="5" t="s">
        <v>90</v>
      </c>
      <c r="H158" s="5" t="s">
        <v>772</v>
      </c>
      <c r="I158" s="8" t="s">
        <v>773</v>
      </c>
      <c r="J158" s="5" t="s">
        <v>774</v>
      </c>
      <c r="K158" s="8" t="s">
        <v>94</v>
      </c>
      <c r="L158" s="9" t="s">
        <v>95</v>
      </c>
      <c r="M158" s="10"/>
      <c r="N158" s="10"/>
      <c r="O158" s="10"/>
      <c r="P158" s="5" t="s">
        <v>96</v>
      </c>
    </row>
    <row r="159" customFormat="false" ht="28.35" hidden="false" customHeight="false" outlineLevel="0" collapsed="false">
      <c r="A159" s="5" t="n">
        <v>158</v>
      </c>
      <c r="B159" s="5" t="s">
        <v>87</v>
      </c>
      <c r="C159" s="5" t="n">
        <v>3</v>
      </c>
      <c r="D159" s="5" t="s">
        <v>18</v>
      </c>
      <c r="E159" s="5" t="s">
        <v>775</v>
      </c>
      <c r="F159" s="5" t="s">
        <v>129</v>
      </c>
      <c r="G159" s="5" t="s">
        <v>90</v>
      </c>
      <c r="H159" s="5" t="s">
        <v>776</v>
      </c>
      <c r="I159" s="5"/>
      <c r="J159" s="5"/>
      <c r="K159" s="8" t="s">
        <v>94</v>
      </c>
      <c r="L159" s="9" t="s">
        <v>95</v>
      </c>
      <c r="M159" s="10"/>
      <c r="N159" s="10"/>
      <c r="O159" s="10"/>
      <c r="P159" s="5" t="s">
        <v>102</v>
      </c>
    </row>
    <row r="160" customFormat="false" ht="55.2" hidden="false" customHeight="false" outlineLevel="0" collapsed="false">
      <c r="A160" s="5" t="n">
        <v>159</v>
      </c>
      <c r="B160" s="5" t="s">
        <v>87</v>
      </c>
      <c r="C160" s="5" t="n">
        <v>3</v>
      </c>
      <c r="D160" s="5" t="s">
        <v>11</v>
      </c>
      <c r="E160" s="5" t="s">
        <v>777</v>
      </c>
      <c r="F160" s="5" t="s">
        <v>778</v>
      </c>
      <c r="G160" s="5" t="s">
        <v>90</v>
      </c>
      <c r="H160" s="5" t="s">
        <v>779</v>
      </c>
      <c r="I160" s="5"/>
      <c r="J160" s="5" t="s">
        <v>780</v>
      </c>
      <c r="K160" s="8" t="s">
        <v>94</v>
      </c>
      <c r="L160" s="9" t="s">
        <v>95</v>
      </c>
      <c r="M160" s="10"/>
      <c r="N160" s="10"/>
      <c r="O160" s="10"/>
      <c r="P160" s="5" t="s">
        <v>96</v>
      </c>
    </row>
    <row r="161" customFormat="false" ht="41.75" hidden="false" customHeight="false" outlineLevel="0" collapsed="false">
      <c r="A161" s="5" t="n">
        <v>160</v>
      </c>
      <c r="B161" s="5" t="s">
        <v>87</v>
      </c>
      <c r="C161" s="5" t="n">
        <v>3</v>
      </c>
      <c r="D161" s="5" t="s">
        <v>11</v>
      </c>
      <c r="E161" s="5" t="s">
        <v>781</v>
      </c>
      <c r="F161" s="5" t="s">
        <v>418</v>
      </c>
      <c r="G161" s="5" t="s">
        <v>90</v>
      </c>
      <c r="H161" s="5" t="s">
        <v>782</v>
      </c>
      <c r="I161" s="8" t="s">
        <v>783</v>
      </c>
      <c r="J161" s="5" t="s">
        <v>784</v>
      </c>
      <c r="K161" s="8" t="s">
        <v>94</v>
      </c>
      <c r="L161" s="9" t="s">
        <v>95</v>
      </c>
      <c r="M161" s="10"/>
      <c r="N161" s="10"/>
      <c r="O161" s="10"/>
      <c r="P161" s="5" t="s">
        <v>102</v>
      </c>
    </row>
    <row r="162" customFormat="false" ht="41.75" hidden="false" customHeight="false" outlineLevel="0" collapsed="false">
      <c r="A162" s="5" t="n">
        <v>161</v>
      </c>
      <c r="B162" s="5" t="s">
        <v>87</v>
      </c>
      <c r="C162" s="5" t="n">
        <v>3</v>
      </c>
      <c r="D162" s="5" t="s">
        <v>18</v>
      </c>
      <c r="E162" s="5" t="s">
        <v>785</v>
      </c>
      <c r="F162" s="5" t="s">
        <v>786</v>
      </c>
      <c r="G162" s="5" t="s">
        <v>90</v>
      </c>
      <c r="H162" s="5" t="s">
        <v>787</v>
      </c>
      <c r="I162" s="8" t="s">
        <v>788</v>
      </c>
      <c r="J162" s="5" t="s">
        <v>789</v>
      </c>
      <c r="K162" s="8" t="s">
        <v>94</v>
      </c>
      <c r="L162" s="9" t="s">
        <v>95</v>
      </c>
      <c r="M162" s="10"/>
      <c r="N162" s="10"/>
      <c r="O162" s="10"/>
      <c r="P162" s="5" t="s">
        <v>102</v>
      </c>
    </row>
    <row r="163" customFormat="false" ht="41.75" hidden="false" customHeight="false" outlineLevel="0" collapsed="false">
      <c r="A163" s="5" t="n">
        <v>162</v>
      </c>
      <c r="B163" s="5" t="s">
        <v>87</v>
      </c>
      <c r="C163" s="5" t="n">
        <v>3</v>
      </c>
      <c r="D163" s="5" t="s">
        <v>18</v>
      </c>
      <c r="E163" s="5" t="s">
        <v>790</v>
      </c>
      <c r="F163" s="5" t="s">
        <v>352</v>
      </c>
      <c r="G163" s="5" t="s">
        <v>90</v>
      </c>
      <c r="H163" s="5" t="s">
        <v>791</v>
      </c>
      <c r="I163" s="5"/>
      <c r="J163" s="5" t="s">
        <v>792</v>
      </c>
      <c r="K163" s="8" t="s">
        <v>94</v>
      </c>
      <c r="L163" s="9" t="s">
        <v>95</v>
      </c>
      <c r="M163" s="10"/>
      <c r="N163" s="10"/>
      <c r="O163" s="10"/>
      <c r="P163" s="5" t="s">
        <v>102</v>
      </c>
    </row>
    <row r="164" customFormat="false" ht="41.75" hidden="false" customHeight="false" outlineLevel="0" collapsed="false">
      <c r="A164" s="5" t="n">
        <v>163</v>
      </c>
      <c r="B164" s="5" t="s">
        <v>87</v>
      </c>
      <c r="C164" s="5" t="n">
        <v>3</v>
      </c>
      <c r="D164" s="5" t="s">
        <v>22</v>
      </c>
      <c r="E164" s="5" t="s">
        <v>793</v>
      </c>
      <c r="F164" s="5" t="s">
        <v>794</v>
      </c>
      <c r="G164" s="5" t="s">
        <v>90</v>
      </c>
      <c r="H164" s="5" t="s">
        <v>795</v>
      </c>
      <c r="I164" s="8" t="s">
        <v>796</v>
      </c>
      <c r="J164" s="5"/>
      <c r="K164" s="8" t="s">
        <v>94</v>
      </c>
      <c r="L164" s="9" t="s">
        <v>95</v>
      </c>
      <c r="M164" s="10"/>
      <c r="N164" s="10"/>
      <c r="O164" s="10"/>
      <c r="P164" s="5" t="s">
        <v>96</v>
      </c>
    </row>
    <row r="165" customFormat="false" ht="55.2" hidden="false" customHeight="false" outlineLevel="0" collapsed="false">
      <c r="A165" s="5" t="n">
        <v>164</v>
      </c>
      <c r="B165" s="5" t="s">
        <v>87</v>
      </c>
      <c r="C165" s="5" t="n">
        <v>3</v>
      </c>
      <c r="D165" s="5" t="s">
        <v>24</v>
      </c>
      <c r="E165" s="5" t="s">
        <v>797</v>
      </c>
      <c r="F165" s="5" t="s">
        <v>798</v>
      </c>
      <c r="G165" s="5" t="s">
        <v>90</v>
      </c>
      <c r="H165" s="5" t="s">
        <v>799</v>
      </c>
      <c r="I165" s="8" t="s">
        <v>800</v>
      </c>
      <c r="J165" s="5" t="s">
        <v>801</v>
      </c>
      <c r="K165" s="8" t="s">
        <v>94</v>
      </c>
      <c r="L165" s="9" t="s">
        <v>95</v>
      </c>
      <c r="M165" s="10"/>
      <c r="N165" s="10"/>
      <c r="O165" s="10"/>
      <c r="P165" s="5" t="s">
        <v>96</v>
      </c>
    </row>
    <row r="166" customFormat="false" ht="15" hidden="false" customHeight="false" outlineLevel="0" collapsed="false">
      <c r="A166" s="5" t="n">
        <v>165</v>
      </c>
      <c r="B166" s="5" t="s">
        <v>87</v>
      </c>
      <c r="C166" s="5" t="n">
        <v>3</v>
      </c>
      <c r="D166" s="5" t="s">
        <v>10</v>
      </c>
      <c r="E166" s="5" t="s">
        <v>802</v>
      </c>
      <c r="F166" s="5" t="s">
        <v>423</v>
      </c>
      <c r="G166" s="5" t="s">
        <v>90</v>
      </c>
      <c r="H166" s="5" t="s">
        <v>803</v>
      </c>
      <c r="I166" s="5"/>
      <c r="J166" s="5"/>
      <c r="K166" s="8" t="s">
        <v>94</v>
      </c>
      <c r="L166" s="9" t="s">
        <v>95</v>
      </c>
      <c r="M166" s="10"/>
      <c r="N166" s="10"/>
      <c r="O166" s="10"/>
      <c r="P166" s="5" t="s">
        <v>112</v>
      </c>
    </row>
    <row r="167" customFormat="false" ht="41.75" hidden="false" customHeight="false" outlineLevel="0" collapsed="false">
      <c r="A167" s="5" t="n">
        <v>166</v>
      </c>
      <c r="B167" s="5" t="s">
        <v>87</v>
      </c>
      <c r="C167" s="5" t="n">
        <v>3</v>
      </c>
      <c r="D167" s="5" t="s">
        <v>18</v>
      </c>
      <c r="E167" s="5" t="s">
        <v>804</v>
      </c>
      <c r="F167" s="5" t="s">
        <v>139</v>
      </c>
      <c r="G167" s="5" t="s">
        <v>90</v>
      </c>
      <c r="H167" s="5" t="s">
        <v>805</v>
      </c>
      <c r="I167" s="8" t="s">
        <v>806</v>
      </c>
      <c r="J167" s="5" t="s">
        <v>807</v>
      </c>
      <c r="K167" s="8" t="s">
        <v>94</v>
      </c>
      <c r="L167" s="9" t="s">
        <v>95</v>
      </c>
      <c r="M167" s="10"/>
      <c r="N167" s="10"/>
      <c r="O167" s="10"/>
      <c r="P167" s="5" t="s">
        <v>102</v>
      </c>
    </row>
    <row r="168" customFormat="false" ht="41.75" hidden="false" customHeight="false" outlineLevel="0" collapsed="false">
      <c r="A168" s="5" t="n">
        <v>167</v>
      </c>
      <c r="B168" s="5" t="s">
        <v>87</v>
      </c>
      <c r="C168" s="5" t="n">
        <v>3</v>
      </c>
      <c r="D168" s="5" t="s">
        <v>15</v>
      </c>
      <c r="E168" s="5" t="s">
        <v>808</v>
      </c>
      <c r="F168" s="5" t="s">
        <v>809</v>
      </c>
      <c r="G168" s="5" t="s">
        <v>90</v>
      </c>
      <c r="H168" s="5" t="s">
        <v>810</v>
      </c>
      <c r="I168" s="8" t="s">
        <v>811</v>
      </c>
      <c r="J168" s="5" t="s">
        <v>812</v>
      </c>
      <c r="K168" s="8" t="s">
        <v>94</v>
      </c>
      <c r="L168" s="9" t="s">
        <v>95</v>
      </c>
      <c r="M168" s="10"/>
      <c r="N168" s="10"/>
      <c r="O168" s="10"/>
      <c r="P168" s="5" t="s">
        <v>96</v>
      </c>
    </row>
    <row r="169" customFormat="false" ht="41.75" hidden="false" customHeight="false" outlineLevel="0" collapsed="false">
      <c r="A169" s="5" t="n">
        <v>168</v>
      </c>
      <c r="B169" s="5" t="s">
        <v>87</v>
      </c>
      <c r="C169" s="5" t="n">
        <v>3</v>
      </c>
      <c r="D169" s="5" t="s">
        <v>10</v>
      </c>
      <c r="E169" s="5" t="s">
        <v>813</v>
      </c>
      <c r="F169" s="5" t="s">
        <v>162</v>
      </c>
      <c r="G169" s="5" t="s">
        <v>163</v>
      </c>
      <c r="H169" s="5" t="s">
        <v>814</v>
      </c>
      <c r="I169" s="5"/>
      <c r="J169" s="5"/>
      <c r="K169" s="8" t="s">
        <v>94</v>
      </c>
      <c r="L169" s="9" t="s">
        <v>95</v>
      </c>
      <c r="M169" s="10"/>
      <c r="N169" s="10"/>
      <c r="O169" s="10"/>
      <c r="P169" s="5" t="s">
        <v>102</v>
      </c>
    </row>
    <row r="170" customFormat="false" ht="41.75" hidden="false" customHeight="false" outlineLevel="0" collapsed="false">
      <c r="A170" s="5" t="n">
        <v>169</v>
      </c>
      <c r="B170" s="5" t="s">
        <v>87</v>
      </c>
      <c r="C170" s="5" t="n">
        <v>3</v>
      </c>
      <c r="D170" s="5" t="s">
        <v>10</v>
      </c>
      <c r="E170" s="5" t="s">
        <v>815</v>
      </c>
      <c r="F170" s="5" t="s">
        <v>816</v>
      </c>
      <c r="G170" s="5" t="s">
        <v>163</v>
      </c>
      <c r="H170" s="5" t="s">
        <v>817</v>
      </c>
      <c r="I170" s="8" t="s">
        <v>818</v>
      </c>
      <c r="J170" s="5" t="s">
        <v>819</v>
      </c>
      <c r="K170" s="8" t="s">
        <v>94</v>
      </c>
      <c r="L170" s="9" t="s">
        <v>95</v>
      </c>
      <c r="M170" s="10"/>
      <c r="N170" s="10"/>
      <c r="O170" s="10"/>
      <c r="P170" s="5" t="s">
        <v>96</v>
      </c>
    </row>
    <row r="171" customFormat="false" ht="55.2" hidden="false" customHeight="false" outlineLevel="0" collapsed="false">
      <c r="A171" s="5" t="n">
        <v>170</v>
      </c>
      <c r="B171" s="5" t="s">
        <v>87</v>
      </c>
      <c r="C171" s="5" t="n">
        <v>3</v>
      </c>
      <c r="D171" s="5" t="s">
        <v>11</v>
      </c>
      <c r="E171" s="5" t="s">
        <v>820</v>
      </c>
      <c r="F171" s="5" t="s">
        <v>821</v>
      </c>
      <c r="G171" s="5" t="s">
        <v>163</v>
      </c>
      <c r="H171" s="5" t="s">
        <v>822</v>
      </c>
      <c r="I171" s="8" t="s">
        <v>823</v>
      </c>
      <c r="J171" s="5" t="s">
        <v>824</v>
      </c>
      <c r="K171" s="8" t="s">
        <v>94</v>
      </c>
      <c r="L171" s="9" t="s">
        <v>95</v>
      </c>
      <c r="M171" s="10"/>
      <c r="N171" s="10"/>
      <c r="O171" s="10"/>
      <c r="P171" s="5" t="s">
        <v>102</v>
      </c>
    </row>
    <row r="172" customFormat="false" ht="41.75" hidden="false" customHeight="false" outlineLevel="0" collapsed="false">
      <c r="A172" s="5" t="n">
        <v>171</v>
      </c>
      <c r="B172" s="5" t="s">
        <v>87</v>
      </c>
      <c r="C172" s="5" t="n">
        <v>3</v>
      </c>
      <c r="D172" s="5" t="s">
        <v>13</v>
      </c>
      <c r="E172" s="5" t="s">
        <v>825</v>
      </c>
      <c r="F172" s="5" t="s">
        <v>826</v>
      </c>
      <c r="G172" s="5" t="s">
        <v>163</v>
      </c>
      <c r="H172" s="5" t="s">
        <v>827</v>
      </c>
      <c r="I172" s="5"/>
      <c r="J172" s="5" t="s">
        <v>828</v>
      </c>
      <c r="K172" s="8" t="s">
        <v>94</v>
      </c>
      <c r="L172" s="9" t="s">
        <v>95</v>
      </c>
      <c r="M172" s="10"/>
      <c r="N172" s="10"/>
      <c r="O172" s="10"/>
      <c r="P172" s="5" t="s">
        <v>102</v>
      </c>
    </row>
    <row r="173" customFormat="false" ht="41.75" hidden="false" customHeight="false" outlineLevel="0" collapsed="false">
      <c r="A173" s="5" t="n">
        <v>172</v>
      </c>
      <c r="B173" s="5" t="s">
        <v>87</v>
      </c>
      <c r="C173" s="5" t="n">
        <v>3</v>
      </c>
      <c r="D173" s="5" t="s">
        <v>18</v>
      </c>
      <c r="E173" s="5" t="s">
        <v>829</v>
      </c>
      <c r="F173" s="5" t="s">
        <v>522</v>
      </c>
      <c r="G173" s="5" t="s">
        <v>163</v>
      </c>
      <c r="H173" s="5" t="s">
        <v>830</v>
      </c>
      <c r="I173" s="8" t="s">
        <v>831</v>
      </c>
      <c r="J173" s="5" t="s">
        <v>832</v>
      </c>
      <c r="K173" s="8" t="s">
        <v>94</v>
      </c>
      <c r="L173" s="9" t="s">
        <v>95</v>
      </c>
      <c r="M173" s="10"/>
      <c r="N173" s="10"/>
      <c r="O173" s="10"/>
      <c r="P173" s="5" t="s">
        <v>102</v>
      </c>
    </row>
    <row r="174" customFormat="false" ht="28.35" hidden="false" customHeight="false" outlineLevel="0" collapsed="false">
      <c r="A174" s="5" t="n">
        <v>173</v>
      </c>
      <c r="B174" s="5" t="s">
        <v>87</v>
      </c>
      <c r="C174" s="5" t="n">
        <v>3</v>
      </c>
      <c r="D174" s="5" t="s">
        <v>27</v>
      </c>
      <c r="E174" s="5" t="s">
        <v>833</v>
      </c>
      <c r="F174" s="5" t="s">
        <v>834</v>
      </c>
      <c r="G174" s="5" t="s">
        <v>163</v>
      </c>
      <c r="H174" s="5" t="s">
        <v>835</v>
      </c>
      <c r="I174" s="5"/>
      <c r="J174" s="5"/>
      <c r="K174" s="8" t="s">
        <v>94</v>
      </c>
      <c r="L174" s="9" t="s">
        <v>95</v>
      </c>
      <c r="M174" s="10"/>
      <c r="N174" s="10"/>
      <c r="O174" s="10"/>
      <c r="P174" s="5" t="s">
        <v>112</v>
      </c>
    </row>
    <row r="175" customFormat="false" ht="41.75" hidden="false" customHeight="false" outlineLevel="0" collapsed="false">
      <c r="A175" s="5" t="n">
        <v>174</v>
      </c>
      <c r="B175" s="5" t="s">
        <v>87</v>
      </c>
      <c r="C175" s="5" t="n">
        <v>3</v>
      </c>
      <c r="D175" s="5" t="s">
        <v>10</v>
      </c>
      <c r="E175" s="5" t="s">
        <v>836</v>
      </c>
      <c r="F175" s="5" t="s">
        <v>837</v>
      </c>
      <c r="G175" s="5" t="s">
        <v>163</v>
      </c>
      <c r="H175" s="5" t="s">
        <v>838</v>
      </c>
      <c r="I175" s="8" t="s">
        <v>839</v>
      </c>
      <c r="J175" s="5" t="s">
        <v>840</v>
      </c>
      <c r="K175" s="8" t="s">
        <v>94</v>
      </c>
      <c r="L175" s="9" t="s">
        <v>95</v>
      </c>
      <c r="M175" s="10"/>
      <c r="N175" s="10"/>
      <c r="O175" s="10"/>
      <c r="P175" s="5" t="s">
        <v>102</v>
      </c>
    </row>
    <row r="176" customFormat="false" ht="41.75" hidden="false" customHeight="false" outlineLevel="0" collapsed="false">
      <c r="A176" s="5" t="n">
        <v>175</v>
      </c>
      <c r="B176" s="5" t="s">
        <v>87</v>
      </c>
      <c r="C176" s="5" t="n">
        <v>3</v>
      </c>
      <c r="D176" s="5" t="s">
        <v>16</v>
      </c>
      <c r="E176" s="5" t="s">
        <v>841</v>
      </c>
      <c r="F176" s="5" t="s">
        <v>842</v>
      </c>
      <c r="G176" s="5" t="s">
        <v>163</v>
      </c>
      <c r="H176" s="5" t="s">
        <v>843</v>
      </c>
      <c r="I176" s="8" t="s">
        <v>844</v>
      </c>
      <c r="J176" s="5" t="s">
        <v>845</v>
      </c>
      <c r="K176" s="8" t="s">
        <v>94</v>
      </c>
      <c r="L176" s="9" t="s">
        <v>95</v>
      </c>
      <c r="M176" s="10"/>
      <c r="N176" s="10"/>
      <c r="O176" s="10"/>
      <c r="P176" s="5" t="s">
        <v>102</v>
      </c>
    </row>
    <row r="177" customFormat="false" ht="41.75" hidden="false" customHeight="false" outlineLevel="0" collapsed="false">
      <c r="A177" s="5" t="n">
        <v>176</v>
      </c>
      <c r="B177" s="5" t="s">
        <v>87</v>
      </c>
      <c r="C177" s="5" t="n">
        <v>3</v>
      </c>
      <c r="D177" s="5" t="s">
        <v>16</v>
      </c>
      <c r="E177" s="5" t="s">
        <v>846</v>
      </c>
      <c r="F177" s="5" t="s">
        <v>847</v>
      </c>
      <c r="G177" s="5" t="s">
        <v>163</v>
      </c>
      <c r="H177" s="5" t="s">
        <v>848</v>
      </c>
      <c r="I177" s="8" t="s">
        <v>849</v>
      </c>
      <c r="J177" s="5" t="s">
        <v>850</v>
      </c>
      <c r="K177" s="8" t="s">
        <v>94</v>
      </c>
      <c r="L177" s="9" t="s">
        <v>95</v>
      </c>
      <c r="M177" s="10"/>
      <c r="N177" s="10"/>
      <c r="O177" s="10"/>
      <c r="P177" s="5" t="s">
        <v>96</v>
      </c>
    </row>
    <row r="178" customFormat="false" ht="41.75" hidden="false" customHeight="false" outlineLevel="0" collapsed="false">
      <c r="A178" s="5" t="n">
        <v>177</v>
      </c>
      <c r="B178" s="5" t="s">
        <v>87</v>
      </c>
      <c r="C178" s="5" t="n">
        <v>3</v>
      </c>
      <c r="D178" s="5" t="s">
        <v>18</v>
      </c>
      <c r="E178" s="5" t="s">
        <v>851</v>
      </c>
      <c r="F178" s="5" t="s">
        <v>671</v>
      </c>
      <c r="G178" s="5" t="s">
        <v>163</v>
      </c>
      <c r="H178" s="5" t="s">
        <v>852</v>
      </c>
      <c r="I178" s="5"/>
      <c r="J178" s="5"/>
      <c r="K178" s="8" t="s">
        <v>94</v>
      </c>
      <c r="L178" s="9" t="s">
        <v>95</v>
      </c>
      <c r="M178" s="10"/>
      <c r="N178" s="10"/>
      <c r="O178" s="10"/>
      <c r="P178" s="5" t="s">
        <v>102</v>
      </c>
    </row>
    <row r="179" customFormat="false" ht="41.75" hidden="false" customHeight="false" outlineLevel="0" collapsed="false">
      <c r="A179" s="5" t="n">
        <v>178</v>
      </c>
      <c r="B179" s="5" t="s">
        <v>87</v>
      </c>
      <c r="C179" s="5" t="n">
        <v>3</v>
      </c>
      <c r="D179" s="5" t="s">
        <v>10</v>
      </c>
      <c r="E179" s="5" t="s">
        <v>853</v>
      </c>
      <c r="F179" s="5" t="s">
        <v>854</v>
      </c>
      <c r="G179" s="5" t="s">
        <v>163</v>
      </c>
      <c r="H179" s="5" t="s">
        <v>855</v>
      </c>
      <c r="I179" s="8" t="s">
        <v>856</v>
      </c>
      <c r="J179" s="5" t="s">
        <v>857</v>
      </c>
      <c r="K179" s="8" t="s">
        <v>94</v>
      </c>
      <c r="L179" s="9" t="s">
        <v>95</v>
      </c>
      <c r="M179" s="10"/>
      <c r="N179" s="10"/>
      <c r="O179" s="10"/>
      <c r="P179" s="5" t="s">
        <v>96</v>
      </c>
    </row>
    <row r="180" customFormat="false" ht="55.2" hidden="false" customHeight="false" outlineLevel="0" collapsed="false">
      <c r="A180" s="5" t="n">
        <v>179</v>
      </c>
      <c r="B180" s="5" t="s">
        <v>87</v>
      </c>
      <c r="C180" s="5" t="n">
        <v>3</v>
      </c>
      <c r="D180" s="5" t="s">
        <v>17</v>
      </c>
      <c r="E180" s="5" t="s">
        <v>858</v>
      </c>
      <c r="F180" s="5" t="s">
        <v>859</v>
      </c>
      <c r="G180" s="5" t="s">
        <v>163</v>
      </c>
      <c r="H180" s="5" t="s">
        <v>860</v>
      </c>
      <c r="I180" s="8" t="s">
        <v>861</v>
      </c>
      <c r="J180" s="5" t="s">
        <v>862</v>
      </c>
      <c r="K180" s="8" t="s">
        <v>94</v>
      </c>
      <c r="L180" s="9" t="s">
        <v>95</v>
      </c>
      <c r="M180" s="10"/>
      <c r="N180" s="10"/>
      <c r="O180" s="10"/>
      <c r="P180" s="5" t="s">
        <v>96</v>
      </c>
    </row>
    <row r="181" customFormat="false" ht="41.75" hidden="false" customHeight="false" outlineLevel="0" collapsed="false">
      <c r="A181" s="5" t="n">
        <v>180</v>
      </c>
      <c r="B181" s="5" t="s">
        <v>87</v>
      </c>
      <c r="C181" s="5" t="n">
        <v>3</v>
      </c>
      <c r="D181" s="5" t="s">
        <v>16</v>
      </c>
      <c r="E181" s="5" t="s">
        <v>863</v>
      </c>
      <c r="F181" s="5" t="s">
        <v>182</v>
      </c>
      <c r="G181" s="5" t="s">
        <v>163</v>
      </c>
      <c r="H181" s="5" t="s">
        <v>864</v>
      </c>
      <c r="I181" s="8" t="s">
        <v>865</v>
      </c>
      <c r="J181" s="5" t="s">
        <v>866</v>
      </c>
      <c r="K181" s="8" t="s">
        <v>94</v>
      </c>
      <c r="L181" s="9" t="s">
        <v>95</v>
      </c>
      <c r="M181" s="10"/>
      <c r="N181" s="10"/>
      <c r="O181" s="10"/>
      <c r="P181" s="5" t="s">
        <v>102</v>
      </c>
    </row>
    <row r="182" customFormat="false" ht="55.2" hidden="false" customHeight="false" outlineLevel="0" collapsed="false">
      <c r="A182" s="5" t="n">
        <v>181</v>
      </c>
      <c r="B182" s="5" t="s">
        <v>87</v>
      </c>
      <c r="C182" s="5" t="n">
        <v>3</v>
      </c>
      <c r="D182" s="5" t="s">
        <v>19</v>
      </c>
      <c r="E182" s="5" t="s">
        <v>867</v>
      </c>
      <c r="F182" s="5" t="s">
        <v>868</v>
      </c>
      <c r="G182" s="5" t="s">
        <v>163</v>
      </c>
      <c r="H182" s="5" t="s">
        <v>869</v>
      </c>
      <c r="I182" s="8" t="s">
        <v>870</v>
      </c>
      <c r="J182" s="5" t="s">
        <v>871</v>
      </c>
      <c r="K182" s="8" t="s">
        <v>94</v>
      </c>
      <c r="L182" s="9" t="s">
        <v>95</v>
      </c>
      <c r="M182" s="10"/>
      <c r="N182" s="10"/>
      <c r="O182" s="10"/>
      <c r="P182" s="5" t="s">
        <v>96</v>
      </c>
    </row>
    <row r="183" customFormat="false" ht="41.75" hidden="false" customHeight="false" outlineLevel="0" collapsed="false">
      <c r="A183" s="5" t="n">
        <v>182</v>
      </c>
      <c r="B183" s="5" t="s">
        <v>87</v>
      </c>
      <c r="C183" s="5" t="n">
        <v>3</v>
      </c>
      <c r="D183" s="5" t="s">
        <v>10</v>
      </c>
      <c r="E183" s="5" t="s">
        <v>872</v>
      </c>
      <c r="F183" s="5" t="s">
        <v>873</v>
      </c>
      <c r="G183" s="5" t="s">
        <v>163</v>
      </c>
      <c r="H183" s="5" t="s">
        <v>874</v>
      </c>
      <c r="I183" s="8" t="s">
        <v>875</v>
      </c>
      <c r="J183" s="5" t="s">
        <v>876</v>
      </c>
      <c r="K183" s="8" t="s">
        <v>94</v>
      </c>
      <c r="L183" s="9" t="s">
        <v>95</v>
      </c>
      <c r="M183" s="10"/>
      <c r="N183" s="10"/>
      <c r="O183" s="10"/>
      <c r="P183" s="5" t="s">
        <v>102</v>
      </c>
    </row>
    <row r="184" customFormat="false" ht="41.75" hidden="false" customHeight="false" outlineLevel="0" collapsed="false">
      <c r="A184" s="5" t="n">
        <v>183</v>
      </c>
      <c r="B184" s="5" t="s">
        <v>87</v>
      </c>
      <c r="C184" s="5" t="n">
        <v>3</v>
      </c>
      <c r="D184" s="5" t="s">
        <v>10</v>
      </c>
      <c r="E184" s="5" t="s">
        <v>877</v>
      </c>
      <c r="F184" s="5" t="s">
        <v>878</v>
      </c>
      <c r="G184" s="5" t="s">
        <v>163</v>
      </c>
      <c r="H184" s="5" t="s">
        <v>879</v>
      </c>
      <c r="I184" s="5"/>
      <c r="J184" s="5"/>
      <c r="K184" s="8" t="s">
        <v>94</v>
      </c>
      <c r="L184" s="9" t="s">
        <v>95</v>
      </c>
      <c r="M184" s="10"/>
      <c r="N184" s="10"/>
      <c r="O184" s="10"/>
      <c r="P184" s="5" t="s">
        <v>96</v>
      </c>
    </row>
    <row r="185" customFormat="false" ht="41.75" hidden="false" customHeight="false" outlineLevel="0" collapsed="false">
      <c r="A185" s="5" t="n">
        <v>184</v>
      </c>
      <c r="B185" s="5" t="s">
        <v>87</v>
      </c>
      <c r="C185" s="5" t="n">
        <v>3</v>
      </c>
      <c r="D185" s="5" t="s">
        <v>18</v>
      </c>
      <c r="E185" s="5" t="s">
        <v>880</v>
      </c>
      <c r="F185" s="5" t="s">
        <v>671</v>
      </c>
      <c r="G185" s="5" t="s">
        <v>163</v>
      </c>
      <c r="H185" s="5" t="s">
        <v>881</v>
      </c>
      <c r="I185" s="8" t="s">
        <v>882</v>
      </c>
      <c r="J185" s="5"/>
      <c r="K185" s="8" t="s">
        <v>94</v>
      </c>
      <c r="L185" s="9" t="s">
        <v>95</v>
      </c>
      <c r="M185" s="10"/>
      <c r="N185" s="10"/>
      <c r="O185" s="10"/>
      <c r="P185" s="5" t="s">
        <v>102</v>
      </c>
    </row>
    <row r="186" customFormat="false" ht="41.75" hidden="false" customHeight="false" outlineLevel="0" collapsed="false">
      <c r="A186" s="5" t="n">
        <v>185</v>
      </c>
      <c r="B186" s="5" t="s">
        <v>87</v>
      </c>
      <c r="C186" s="5" t="n">
        <v>3</v>
      </c>
      <c r="D186" s="5" t="s">
        <v>21</v>
      </c>
      <c r="E186" s="5" t="s">
        <v>883</v>
      </c>
      <c r="F186" s="5" t="s">
        <v>884</v>
      </c>
      <c r="G186" s="5" t="s">
        <v>163</v>
      </c>
      <c r="H186" s="5" t="s">
        <v>885</v>
      </c>
      <c r="I186" s="8" t="s">
        <v>886</v>
      </c>
      <c r="J186" s="5" t="s">
        <v>887</v>
      </c>
      <c r="K186" s="8" t="s">
        <v>94</v>
      </c>
      <c r="L186" s="9" t="s">
        <v>95</v>
      </c>
      <c r="M186" s="10"/>
      <c r="N186" s="10"/>
      <c r="O186" s="10"/>
      <c r="P186" s="5" t="s">
        <v>96</v>
      </c>
    </row>
    <row r="187" customFormat="false" ht="41.75" hidden="false" customHeight="false" outlineLevel="0" collapsed="false">
      <c r="A187" s="5" t="n">
        <v>186</v>
      </c>
      <c r="B187" s="5" t="s">
        <v>87</v>
      </c>
      <c r="C187" s="5" t="n">
        <v>3</v>
      </c>
      <c r="D187" s="5" t="s">
        <v>14</v>
      </c>
      <c r="E187" s="5" t="s">
        <v>888</v>
      </c>
      <c r="F187" s="5" t="s">
        <v>889</v>
      </c>
      <c r="G187" s="5" t="s">
        <v>163</v>
      </c>
      <c r="H187" s="5" t="s">
        <v>890</v>
      </c>
      <c r="I187" s="8" t="s">
        <v>891</v>
      </c>
      <c r="J187" s="5" t="s">
        <v>892</v>
      </c>
      <c r="K187" s="8" t="s">
        <v>94</v>
      </c>
      <c r="L187" s="9" t="s">
        <v>95</v>
      </c>
      <c r="M187" s="10"/>
      <c r="N187" s="10"/>
      <c r="O187" s="10"/>
      <c r="P187" s="5" t="s">
        <v>96</v>
      </c>
    </row>
    <row r="188" customFormat="false" ht="41.75" hidden="false" customHeight="false" outlineLevel="0" collapsed="false">
      <c r="A188" s="5" t="n">
        <v>187</v>
      </c>
      <c r="B188" s="5" t="s">
        <v>87</v>
      </c>
      <c r="C188" s="5" t="n">
        <v>3</v>
      </c>
      <c r="D188" s="5" t="s">
        <v>10</v>
      </c>
      <c r="E188" s="5" t="s">
        <v>893</v>
      </c>
      <c r="F188" s="5" t="s">
        <v>894</v>
      </c>
      <c r="G188" s="5" t="s">
        <v>163</v>
      </c>
      <c r="H188" s="5" t="s">
        <v>895</v>
      </c>
      <c r="I188" s="8" t="s">
        <v>896</v>
      </c>
      <c r="J188" s="5" t="s">
        <v>897</v>
      </c>
      <c r="K188" s="8" t="s">
        <v>94</v>
      </c>
      <c r="L188" s="9" t="s">
        <v>95</v>
      </c>
      <c r="M188" s="10"/>
      <c r="N188" s="10"/>
      <c r="O188" s="10"/>
      <c r="P188" s="5" t="s">
        <v>96</v>
      </c>
    </row>
    <row r="189" customFormat="false" ht="55.2" hidden="false" customHeight="false" outlineLevel="0" collapsed="false">
      <c r="A189" s="5" t="n">
        <v>188</v>
      </c>
      <c r="B189" s="5" t="s">
        <v>87</v>
      </c>
      <c r="C189" s="5" t="n">
        <v>3</v>
      </c>
      <c r="D189" s="5" t="s">
        <v>11</v>
      </c>
      <c r="E189" s="5" t="s">
        <v>898</v>
      </c>
      <c r="F189" s="5" t="s">
        <v>899</v>
      </c>
      <c r="G189" s="5" t="s">
        <v>163</v>
      </c>
      <c r="H189" s="5" t="s">
        <v>900</v>
      </c>
      <c r="I189" s="8" t="s">
        <v>901</v>
      </c>
      <c r="J189" s="5" t="s">
        <v>902</v>
      </c>
      <c r="K189" s="8" t="s">
        <v>94</v>
      </c>
      <c r="L189" s="9" t="s">
        <v>95</v>
      </c>
      <c r="M189" s="10"/>
      <c r="N189" s="10"/>
      <c r="O189" s="10"/>
      <c r="P189" s="5" t="s">
        <v>96</v>
      </c>
    </row>
    <row r="190" customFormat="false" ht="41.75" hidden="false" customHeight="false" outlineLevel="0" collapsed="false">
      <c r="A190" s="5" t="n">
        <v>189</v>
      </c>
      <c r="B190" s="5" t="s">
        <v>87</v>
      </c>
      <c r="C190" s="5" t="n">
        <v>3</v>
      </c>
      <c r="D190" s="5" t="s">
        <v>14</v>
      </c>
      <c r="E190" s="5" t="s">
        <v>903</v>
      </c>
      <c r="F190" s="5" t="s">
        <v>904</v>
      </c>
      <c r="G190" s="5" t="s">
        <v>163</v>
      </c>
      <c r="H190" s="5" t="s">
        <v>905</v>
      </c>
      <c r="I190" s="5"/>
      <c r="J190" s="5"/>
      <c r="K190" s="8" t="s">
        <v>94</v>
      </c>
      <c r="L190" s="9" t="s">
        <v>95</v>
      </c>
      <c r="M190" s="10"/>
      <c r="N190" s="10"/>
      <c r="O190" s="10"/>
      <c r="P190" s="5" t="s">
        <v>96</v>
      </c>
    </row>
    <row r="191" customFormat="false" ht="55.2" hidden="false" customHeight="false" outlineLevel="0" collapsed="false">
      <c r="A191" s="5" t="n">
        <v>190</v>
      </c>
      <c r="B191" s="5" t="s">
        <v>87</v>
      </c>
      <c r="C191" s="5" t="n">
        <v>3</v>
      </c>
      <c r="D191" s="5" t="s">
        <v>11</v>
      </c>
      <c r="E191" s="5" t="s">
        <v>906</v>
      </c>
      <c r="F191" s="5" t="s">
        <v>907</v>
      </c>
      <c r="G191" s="5" t="s">
        <v>163</v>
      </c>
      <c r="H191" s="5" t="s">
        <v>908</v>
      </c>
      <c r="I191" s="8" t="s">
        <v>909</v>
      </c>
      <c r="J191" s="5" t="s">
        <v>910</v>
      </c>
      <c r="K191" s="8" t="s">
        <v>94</v>
      </c>
      <c r="L191" s="9" t="s">
        <v>95</v>
      </c>
      <c r="M191" s="10"/>
      <c r="N191" s="10"/>
      <c r="O191" s="10"/>
      <c r="P191" s="5" t="s">
        <v>102</v>
      </c>
    </row>
    <row r="192" customFormat="false" ht="28.35" hidden="false" customHeight="false" outlineLevel="0" collapsed="false">
      <c r="A192" s="5" t="n">
        <v>191</v>
      </c>
      <c r="B192" s="5" t="s">
        <v>87</v>
      </c>
      <c r="C192" s="5" t="n">
        <v>3</v>
      </c>
      <c r="D192" s="5" t="s">
        <v>10</v>
      </c>
      <c r="E192" s="5" t="s">
        <v>911</v>
      </c>
      <c r="F192" s="5" t="s">
        <v>237</v>
      </c>
      <c r="G192" s="5" t="s">
        <v>163</v>
      </c>
      <c r="H192" s="5" t="s">
        <v>912</v>
      </c>
      <c r="I192" s="8" t="s">
        <v>913</v>
      </c>
      <c r="J192" s="5" t="s">
        <v>914</v>
      </c>
      <c r="K192" s="8" t="s">
        <v>94</v>
      </c>
      <c r="L192" s="9" t="s">
        <v>95</v>
      </c>
      <c r="M192" s="10"/>
      <c r="N192" s="10"/>
      <c r="O192" s="10"/>
      <c r="P192" s="5" t="s">
        <v>96</v>
      </c>
    </row>
    <row r="193" customFormat="false" ht="41.75" hidden="false" customHeight="false" outlineLevel="0" collapsed="false">
      <c r="A193" s="5" t="n">
        <v>192</v>
      </c>
      <c r="B193" s="5" t="s">
        <v>87</v>
      </c>
      <c r="C193" s="5" t="n">
        <v>3</v>
      </c>
      <c r="D193" s="5" t="s">
        <v>14</v>
      </c>
      <c r="E193" s="5" t="s">
        <v>915</v>
      </c>
      <c r="F193" s="5" t="s">
        <v>916</v>
      </c>
      <c r="G193" s="5" t="s">
        <v>163</v>
      </c>
      <c r="H193" s="5" t="s">
        <v>917</v>
      </c>
      <c r="I193" s="8" t="s">
        <v>918</v>
      </c>
      <c r="J193" s="5" t="s">
        <v>919</v>
      </c>
      <c r="K193" s="8" t="s">
        <v>94</v>
      </c>
      <c r="L193" s="9" t="s">
        <v>95</v>
      </c>
      <c r="M193" s="10"/>
      <c r="N193" s="10"/>
      <c r="O193" s="10"/>
      <c r="P193" s="5" t="s">
        <v>102</v>
      </c>
    </row>
    <row r="194" customFormat="false" ht="41.75" hidden="false" customHeight="false" outlineLevel="0" collapsed="false">
      <c r="A194" s="5" t="n">
        <v>193</v>
      </c>
      <c r="B194" s="5" t="s">
        <v>87</v>
      </c>
      <c r="C194" s="5" t="n">
        <v>3</v>
      </c>
      <c r="D194" s="5" t="s">
        <v>10</v>
      </c>
      <c r="E194" s="5" t="s">
        <v>920</v>
      </c>
      <c r="F194" s="5" t="s">
        <v>907</v>
      </c>
      <c r="G194" s="5" t="s">
        <v>163</v>
      </c>
      <c r="H194" s="5" t="s">
        <v>921</v>
      </c>
      <c r="I194" s="5"/>
      <c r="J194" s="5"/>
      <c r="K194" s="8" t="s">
        <v>94</v>
      </c>
      <c r="L194" s="9" t="s">
        <v>95</v>
      </c>
      <c r="M194" s="10"/>
      <c r="N194" s="10"/>
      <c r="O194" s="10"/>
      <c r="P194" s="5" t="s">
        <v>102</v>
      </c>
    </row>
    <row r="195" customFormat="false" ht="41.75" hidden="false" customHeight="false" outlineLevel="0" collapsed="false">
      <c r="A195" s="5" t="n">
        <v>194</v>
      </c>
      <c r="B195" s="5" t="s">
        <v>87</v>
      </c>
      <c r="C195" s="5" t="n">
        <v>3</v>
      </c>
      <c r="D195" s="5" t="s">
        <v>15</v>
      </c>
      <c r="E195" s="5" t="s">
        <v>922</v>
      </c>
      <c r="F195" s="5" t="s">
        <v>561</v>
      </c>
      <c r="G195" s="5" t="s">
        <v>163</v>
      </c>
      <c r="H195" s="5" t="s">
        <v>923</v>
      </c>
      <c r="I195" s="5"/>
      <c r="J195" s="5"/>
      <c r="K195" s="8" t="s">
        <v>94</v>
      </c>
      <c r="L195" s="9" t="s">
        <v>95</v>
      </c>
      <c r="M195" s="10"/>
      <c r="N195" s="10"/>
      <c r="O195" s="10"/>
      <c r="P195" s="5" t="s">
        <v>102</v>
      </c>
    </row>
    <row r="196" customFormat="false" ht="41.75" hidden="false" customHeight="false" outlineLevel="0" collapsed="false">
      <c r="A196" s="5" t="n">
        <v>195</v>
      </c>
      <c r="B196" s="5" t="s">
        <v>87</v>
      </c>
      <c r="C196" s="5" t="n">
        <v>3</v>
      </c>
      <c r="D196" s="5" t="s">
        <v>10</v>
      </c>
      <c r="E196" s="5" t="s">
        <v>924</v>
      </c>
      <c r="F196" s="5" t="s">
        <v>925</v>
      </c>
      <c r="G196" s="5" t="s">
        <v>163</v>
      </c>
      <c r="H196" s="5" t="s">
        <v>926</v>
      </c>
      <c r="I196" s="8" t="s">
        <v>927</v>
      </c>
      <c r="J196" s="5" t="s">
        <v>928</v>
      </c>
      <c r="K196" s="8" t="s">
        <v>94</v>
      </c>
      <c r="L196" s="9" t="s">
        <v>95</v>
      </c>
      <c r="M196" s="10"/>
      <c r="N196" s="10"/>
      <c r="O196" s="10"/>
      <c r="P196" s="5" t="s">
        <v>102</v>
      </c>
    </row>
    <row r="197" customFormat="false" ht="28.35" hidden="false" customHeight="false" outlineLevel="0" collapsed="false">
      <c r="A197" s="5" t="n">
        <v>196</v>
      </c>
      <c r="B197" s="5" t="s">
        <v>87</v>
      </c>
      <c r="C197" s="5" t="n">
        <v>3</v>
      </c>
      <c r="D197" s="5" t="s">
        <v>10</v>
      </c>
      <c r="E197" s="5" t="s">
        <v>929</v>
      </c>
      <c r="F197" s="5" t="s">
        <v>907</v>
      </c>
      <c r="G197" s="5" t="s">
        <v>163</v>
      </c>
      <c r="H197" s="5" t="s">
        <v>930</v>
      </c>
      <c r="I197" s="5"/>
      <c r="J197" s="5"/>
      <c r="K197" s="8" t="s">
        <v>94</v>
      </c>
      <c r="L197" s="9" t="s">
        <v>95</v>
      </c>
      <c r="M197" s="10"/>
      <c r="N197" s="10"/>
      <c r="O197" s="10"/>
      <c r="P197" s="5" t="s">
        <v>102</v>
      </c>
    </row>
    <row r="198" customFormat="false" ht="41.75" hidden="false" customHeight="false" outlineLevel="0" collapsed="false">
      <c r="A198" s="5" t="n">
        <v>197</v>
      </c>
      <c r="B198" s="5" t="s">
        <v>87</v>
      </c>
      <c r="C198" s="5" t="n">
        <v>3</v>
      </c>
      <c r="D198" s="5" t="s">
        <v>10</v>
      </c>
      <c r="E198" s="5" t="s">
        <v>931</v>
      </c>
      <c r="F198" s="5" t="s">
        <v>932</v>
      </c>
      <c r="G198" s="5" t="s">
        <v>163</v>
      </c>
      <c r="H198" s="5" t="s">
        <v>933</v>
      </c>
      <c r="I198" s="8" t="s">
        <v>934</v>
      </c>
      <c r="J198" s="5" t="s">
        <v>935</v>
      </c>
      <c r="K198" s="8" t="s">
        <v>94</v>
      </c>
      <c r="L198" s="9" t="s">
        <v>95</v>
      </c>
      <c r="M198" s="10"/>
      <c r="N198" s="10"/>
      <c r="O198" s="10"/>
      <c r="P198" s="5" t="s">
        <v>102</v>
      </c>
    </row>
    <row r="199" customFormat="false" ht="82.05" hidden="false" customHeight="false" outlineLevel="0" collapsed="false">
      <c r="A199" s="5" t="n">
        <v>198</v>
      </c>
      <c r="B199" s="5" t="s">
        <v>936</v>
      </c>
      <c r="C199" s="5" t="n">
        <v>1</v>
      </c>
      <c r="D199" s="5" t="s">
        <v>937</v>
      </c>
      <c r="E199" s="5" t="s">
        <v>938</v>
      </c>
      <c r="F199" s="5" t="s">
        <v>939</v>
      </c>
      <c r="G199" s="5" t="s">
        <v>940</v>
      </c>
      <c r="H199" s="5" t="s">
        <v>941</v>
      </c>
      <c r="I199" s="5"/>
      <c r="J199" s="5"/>
      <c r="K199" s="8" t="s">
        <v>94</v>
      </c>
      <c r="L199" s="9" t="s">
        <v>46</v>
      </c>
      <c r="M199" s="10"/>
      <c r="N199" s="10"/>
      <c r="O199" s="10" t="s">
        <v>942</v>
      </c>
      <c r="P199" s="5" t="s">
        <v>943</v>
      </c>
    </row>
    <row r="200" customFormat="false" ht="82.05" hidden="false" customHeight="false" outlineLevel="0" collapsed="false">
      <c r="A200" s="5" t="n">
        <v>199</v>
      </c>
      <c r="B200" s="5" t="s">
        <v>936</v>
      </c>
      <c r="C200" s="5" t="n">
        <v>1</v>
      </c>
      <c r="D200" s="5" t="s">
        <v>944</v>
      </c>
      <c r="E200" s="5" t="s">
        <v>945</v>
      </c>
      <c r="F200" s="5" t="s">
        <v>946</v>
      </c>
      <c r="G200" s="5" t="s">
        <v>940</v>
      </c>
      <c r="H200" s="5" t="s">
        <v>947</v>
      </c>
      <c r="I200" s="5"/>
      <c r="J200" s="5"/>
      <c r="K200" s="8" t="s">
        <v>94</v>
      </c>
      <c r="L200" s="9" t="s">
        <v>46</v>
      </c>
      <c r="M200" s="10"/>
      <c r="N200" s="10"/>
      <c r="O200" s="10" t="s">
        <v>948</v>
      </c>
      <c r="P200" s="5" t="s">
        <v>943</v>
      </c>
    </row>
    <row r="201" customFormat="false" ht="95.5" hidden="false" customHeight="false" outlineLevel="0" collapsed="false">
      <c r="A201" s="5" t="n">
        <v>200</v>
      </c>
      <c r="B201" s="5" t="s">
        <v>936</v>
      </c>
      <c r="C201" s="5" t="n">
        <v>1</v>
      </c>
      <c r="D201" s="5" t="s">
        <v>937</v>
      </c>
      <c r="E201" s="5" t="s">
        <v>949</v>
      </c>
      <c r="F201" s="5" t="s">
        <v>950</v>
      </c>
      <c r="G201" s="5" t="s">
        <v>940</v>
      </c>
      <c r="H201" s="5" t="s">
        <v>951</v>
      </c>
      <c r="I201" s="5"/>
      <c r="J201" s="5"/>
      <c r="K201" s="8" t="s">
        <v>94</v>
      </c>
      <c r="L201" s="9" t="s">
        <v>46</v>
      </c>
      <c r="M201" s="10"/>
      <c r="N201" s="10"/>
      <c r="O201" s="10" t="s">
        <v>952</v>
      </c>
      <c r="P201" s="5" t="s">
        <v>943</v>
      </c>
    </row>
    <row r="202" customFormat="false" ht="95.5" hidden="false" customHeight="false" outlineLevel="0" collapsed="false">
      <c r="A202" s="5" t="n">
        <v>201</v>
      </c>
      <c r="B202" s="5" t="s">
        <v>936</v>
      </c>
      <c r="C202" s="5" t="n">
        <v>1</v>
      </c>
      <c r="D202" s="5" t="s">
        <v>953</v>
      </c>
      <c r="E202" s="5" t="s">
        <v>954</v>
      </c>
      <c r="F202" s="5" t="s">
        <v>955</v>
      </c>
      <c r="G202" s="5" t="s">
        <v>940</v>
      </c>
      <c r="H202" s="5" t="s">
        <v>956</v>
      </c>
      <c r="I202" s="5"/>
      <c r="J202" s="5"/>
      <c r="K202" s="8" t="s">
        <v>94</v>
      </c>
      <c r="L202" s="9" t="s">
        <v>46</v>
      </c>
      <c r="M202" s="10"/>
      <c r="N202" s="10"/>
      <c r="O202" s="10" t="s">
        <v>957</v>
      </c>
      <c r="P202" s="5" t="s">
        <v>943</v>
      </c>
    </row>
    <row r="203" customFormat="false" ht="95.5" hidden="false" customHeight="false" outlineLevel="0" collapsed="false">
      <c r="A203" s="5" t="n">
        <v>202</v>
      </c>
      <c r="B203" s="5" t="s">
        <v>936</v>
      </c>
      <c r="C203" s="5" t="n">
        <v>1</v>
      </c>
      <c r="D203" s="5" t="s">
        <v>944</v>
      </c>
      <c r="E203" s="5" t="s">
        <v>958</v>
      </c>
      <c r="F203" s="5" t="s">
        <v>959</v>
      </c>
      <c r="G203" s="5" t="s">
        <v>940</v>
      </c>
      <c r="H203" s="5" t="s">
        <v>960</v>
      </c>
      <c r="I203" s="5"/>
      <c r="J203" s="5"/>
      <c r="K203" s="8" t="s">
        <v>94</v>
      </c>
      <c r="L203" s="9" t="s">
        <v>46</v>
      </c>
      <c r="M203" s="10"/>
      <c r="N203" s="10"/>
      <c r="O203" s="10" t="s">
        <v>948</v>
      </c>
      <c r="P203" s="5" t="s">
        <v>943</v>
      </c>
    </row>
    <row r="204" customFormat="false" ht="68.65" hidden="false" customHeight="false" outlineLevel="0" collapsed="false">
      <c r="A204" s="5" t="n">
        <v>203</v>
      </c>
      <c r="B204" s="5" t="s">
        <v>936</v>
      </c>
      <c r="C204" s="5" t="n">
        <v>2</v>
      </c>
      <c r="D204" s="5" t="s">
        <v>944</v>
      </c>
      <c r="E204" s="5" t="s">
        <v>961</v>
      </c>
      <c r="F204" s="5"/>
      <c r="G204" s="5" t="s">
        <v>940</v>
      </c>
      <c r="H204" s="5" t="s">
        <v>962</v>
      </c>
      <c r="I204" s="5"/>
      <c r="J204" s="5"/>
      <c r="K204" s="8" t="s">
        <v>94</v>
      </c>
      <c r="L204" s="9" t="s">
        <v>46</v>
      </c>
      <c r="M204" s="10"/>
      <c r="N204" s="10"/>
      <c r="O204" s="10" t="s">
        <v>963</v>
      </c>
      <c r="P204" s="5" t="s">
        <v>943</v>
      </c>
    </row>
    <row r="205" customFormat="false" ht="95.5" hidden="false" customHeight="false" outlineLevel="0" collapsed="false">
      <c r="A205" s="5" t="n">
        <v>204</v>
      </c>
      <c r="B205" s="5" t="s">
        <v>936</v>
      </c>
      <c r="C205" s="5" t="n">
        <v>2</v>
      </c>
      <c r="D205" s="5" t="s">
        <v>937</v>
      </c>
      <c r="E205" s="5" t="s">
        <v>964</v>
      </c>
      <c r="F205" s="5" t="s">
        <v>965</v>
      </c>
      <c r="G205" s="5" t="s">
        <v>940</v>
      </c>
      <c r="H205" s="5" t="s">
        <v>966</v>
      </c>
      <c r="I205" s="5"/>
      <c r="J205" s="5"/>
      <c r="K205" s="8" t="s">
        <v>94</v>
      </c>
      <c r="L205" s="9" t="s">
        <v>46</v>
      </c>
      <c r="M205" s="10"/>
      <c r="N205" s="10"/>
      <c r="O205" s="10" t="s">
        <v>967</v>
      </c>
      <c r="P205" s="5" t="s">
        <v>943</v>
      </c>
    </row>
    <row r="206" customFormat="false" ht="82.05" hidden="false" customHeight="false" outlineLevel="0" collapsed="false">
      <c r="A206" s="5" t="n">
        <v>205</v>
      </c>
      <c r="B206" s="5" t="s">
        <v>936</v>
      </c>
      <c r="C206" s="5" t="n">
        <v>2</v>
      </c>
      <c r="D206" s="5" t="s">
        <v>937</v>
      </c>
      <c r="E206" s="5" t="s">
        <v>968</v>
      </c>
      <c r="F206" s="5" t="s">
        <v>969</v>
      </c>
      <c r="G206" s="5" t="s">
        <v>940</v>
      </c>
      <c r="H206" s="5" t="s">
        <v>970</v>
      </c>
      <c r="I206" s="5"/>
      <c r="J206" s="5"/>
      <c r="K206" s="8" t="s">
        <v>94</v>
      </c>
      <c r="L206" s="9" t="s">
        <v>46</v>
      </c>
      <c r="M206" s="10"/>
      <c r="N206" s="10"/>
      <c r="O206" s="10" t="s">
        <v>971</v>
      </c>
      <c r="P206" s="5" t="s">
        <v>943</v>
      </c>
    </row>
    <row r="207" customFormat="false" ht="41.75" hidden="false" customHeight="false" outlineLevel="0" collapsed="false">
      <c r="A207" s="5" t="n">
        <v>206</v>
      </c>
      <c r="B207" s="5" t="s">
        <v>936</v>
      </c>
      <c r="C207" s="5" t="n">
        <v>2</v>
      </c>
      <c r="D207" s="5" t="s">
        <v>937</v>
      </c>
      <c r="E207" s="5" t="s">
        <v>972</v>
      </c>
      <c r="F207" s="5" t="s">
        <v>973</v>
      </c>
      <c r="G207" s="5" t="s">
        <v>940</v>
      </c>
      <c r="H207" s="5" t="s">
        <v>974</v>
      </c>
      <c r="I207" s="5"/>
      <c r="J207" s="5"/>
      <c r="K207" s="8" t="s">
        <v>94</v>
      </c>
      <c r="L207" s="9" t="s">
        <v>46</v>
      </c>
      <c r="M207" s="10"/>
      <c r="N207" s="10"/>
      <c r="O207" s="10" t="s">
        <v>975</v>
      </c>
      <c r="P207" s="5" t="s">
        <v>943</v>
      </c>
    </row>
    <row r="208" customFormat="false" ht="55.2" hidden="false" customHeight="false" outlineLevel="0" collapsed="false">
      <c r="A208" s="5" t="n">
        <v>207</v>
      </c>
      <c r="B208" s="5" t="s">
        <v>936</v>
      </c>
      <c r="C208" s="5" t="n">
        <v>2</v>
      </c>
      <c r="D208" s="5" t="s">
        <v>937</v>
      </c>
      <c r="E208" s="5" t="s">
        <v>976</v>
      </c>
      <c r="F208" s="5" t="s">
        <v>977</v>
      </c>
      <c r="G208" s="5" t="s">
        <v>940</v>
      </c>
      <c r="H208" s="5" t="s">
        <v>978</v>
      </c>
      <c r="I208" s="5"/>
      <c r="J208" s="5"/>
      <c r="K208" s="8" t="s">
        <v>94</v>
      </c>
      <c r="L208" s="9" t="s">
        <v>46</v>
      </c>
      <c r="M208" s="10"/>
      <c r="N208" s="10"/>
      <c r="O208" s="10" t="s">
        <v>979</v>
      </c>
      <c r="P208" s="5" t="s">
        <v>943</v>
      </c>
    </row>
    <row r="209" customFormat="false" ht="55.2" hidden="false" customHeight="false" outlineLevel="0" collapsed="false">
      <c r="A209" s="5" t="n">
        <v>208</v>
      </c>
      <c r="B209" s="5" t="s">
        <v>936</v>
      </c>
      <c r="C209" s="5" t="n">
        <v>2</v>
      </c>
      <c r="D209" s="5" t="s">
        <v>937</v>
      </c>
      <c r="E209" s="5" t="s">
        <v>980</v>
      </c>
      <c r="F209" s="5" t="s">
        <v>981</v>
      </c>
      <c r="G209" s="5" t="s">
        <v>940</v>
      </c>
      <c r="H209" s="5" t="s">
        <v>982</v>
      </c>
      <c r="I209" s="5"/>
      <c r="J209" s="5"/>
      <c r="K209" s="8" t="s">
        <v>94</v>
      </c>
      <c r="L209" s="9" t="s">
        <v>46</v>
      </c>
      <c r="M209" s="10"/>
      <c r="N209" s="10"/>
      <c r="O209" s="10" t="s">
        <v>983</v>
      </c>
      <c r="P209" s="5" t="s">
        <v>943</v>
      </c>
    </row>
    <row r="210" customFormat="false" ht="55.2" hidden="false" customHeight="false" outlineLevel="0" collapsed="false">
      <c r="A210" s="5" t="n">
        <v>209</v>
      </c>
      <c r="B210" s="5" t="s">
        <v>936</v>
      </c>
      <c r="C210" s="5" t="n">
        <v>2</v>
      </c>
      <c r="D210" s="5" t="s">
        <v>937</v>
      </c>
      <c r="E210" s="5" t="s">
        <v>984</v>
      </c>
      <c r="F210" s="5" t="s">
        <v>985</v>
      </c>
      <c r="G210" s="5" t="s">
        <v>940</v>
      </c>
      <c r="H210" s="5" t="s">
        <v>986</v>
      </c>
      <c r="I210" s="5"/>
      <c r="J210" s="5"/>
      <c r="K210" s="8" t="s">
        <v>94</v>
      </c>
      <c r="L210" s="9" t="s">
        <v>46</v>
      </c>
      <c r="M210" s="10"/>
      <c r="N210" s="10"/>
      <c r="O210" s="10" t="s">
        <v>987</v>
      </c>
      <c r="P210" s="5" t="s">
        <v>943</v>
      </c>
    </row>
    <row r="211" customFormat="false" ht="82.05" hidden="false" customHeight="false" outlineLevel="0" collapsed="false">
      <c r="A211" s="5" t="n">
        <v>210</v>
      </c>
      <c r="B211" s="5" t="s">
        <v>936</v>
      </c>
      <c r="C211" s="5" t="n">
        <v>2</v>
      </c>
      <c r="D211" s="5" t="s">
        <v>944</v>
      </c>
      <c r="E211" s="5" t="s">
        <v>988</v>
      </c>
      <c r="F211" s="5" t="s">
        <v>989</v>
      </c>
      <c r="G211" s="5" t="s">
        <v>940</v>
      </c>
      <c r="H211" s="5" t="s">
        <v>990</v>
      </c>
      <c r="I211" s="5"/>
      <c r="J211" s="5"/>
      <c r="K211" s="8" t="s">
        <v>94</v>
      </c>
      <c r="L211" s="9" t="s">
        <v>46</v>
      </c>
      <c r="M211" s="10"/>
      <c r="N211" s="10"/>
      <c r="O211" s="10" t="s">
        <v>991</v>
      </c>
      <c r="P211" s="5" t="s">
        <v>943</v>
      </c>
    </row>
    <row r="212" customFormat="false" ht="68.65" hidden="false" customHeight="false" outlineLevel="0" collapsed="false">
      <c r="A212" s="5" t="n">
        <v>211</v>
      </c>
      <c r="B212" s="5" t="s">
        <v>936</v>
      </c>
      <c r="C212" s="5" t="n">
        <v>2</v>
      </c>
      <c r="D212" s="5" t="s">
        <v>944</v>
      </c>
      <c r="E212" s="5" t="s">
        <v>992</v>
      </c>
      <c r="F212" s="5" t="s">
        <v>989</v>
      </c>
      <c r="G212" s="5" t="s">
        <v>940</v>
      </c>
      <c r="H212" s="5" t="s">
        <v>993</v>
      </c>
      <c r="I212" s="5"/>
      <c r="J212" s="5"/>
      <c r="K212" s="8" t="s">
        <v>94</v>
      </c>
      <c r="L212" s="9" t="s">
        <v>46</v>
      </c>
      <c r="M212" s="10"/>
      <c r="N212" s="10"/>
      <c r="O212" s="10" t="s">
        <v>994</v>
      </c>
      <c r="P212" s="5" t="s">
        <v>943</v>
      </c>
    </row>
    <row r="213" customFormat="false" ht="82.05" hidden="false" customHeight="false" outlineLevel="0" collapsed="false">
      <c r="A213" s="5" t="n">
        <v>212</v>
      </c>
      <c r="B213" s="5" t="s">
        <v>936</v>
      </c>
      <c r="C213" s="5" t="n">
        <v>2</v>
      </c>
      <c r="D213" s="5" t="s">
        <v>944</v>
      </c>
      <c r="E213" s="5" t="s">
        <v>995</v>
      </c>
      <c r="F213" s="5" t="s">
        <v>996</v>
      </c>
      <c r="G213" s="5" t="s">
        <v>940</v>
      </c>
      <c r="H213" s="5" t="s">
        <v>997</v>
      </c>
      <c r="I213" s="5"/>
      <c r="J213" s="5"/>
      <c r="K213" s="8" t="s">
        <v>94</v>
      </c>
      <c r="L213" s="9" t="s">
        <v>46</v>
      </c>
      <c r="M213" s="10"/>
      <c r="N213" s="10"/>
      <c r="O213" s="10" t="s">
        <v>998</v>
      </c>
      <c r="P213" s="5" t="s">
        <v>943</v>
      </c>
    </row>
    <row r="214" customFormat="false" ht="68.65" hidden="false" customHeight="false" outlineLevel="0" collapsed="false">
      <c r="A214" s="5" t="n">
        <v>213</v>
      </c>
      <c r="B214" s="5" t="s">
        <v>936</v>
      </c>
      <c r="C214" s="5" t="n">
        <v>2</v>
      </c>
      <c r="D214" s="5" t="s">
        <v>944</v>
      </c>
      <c r="E214" s="5" t="s">
        <v>999</v>
      </c>
      <c r="F214" s="5" t="s">
        <v>1000</v>
      </c>
      <c r="G214" s="5" t="s">
        <v>940</v>
      </c>
      <c r="H214" s="5" t="s">
        <v>1001</v>
      </c>
      <c r="I214" s="5"/>
      <c r="J214" s="5"/>
      <c r="K214" s="8" t="s">
        <v>94</v>
      </c>
      <c r="L214" s="9" t="s">
        <v>46</v>
      </c>
      <c r="M214" s="10"/>
      <c r="N214" s="10"/>
      <c r="O214" s="10" t="s">
        <v>1002</v>
      </c>
      <c r="P214" s="5" t="s">
        <v>943</v>
      </c>
    </row>
    <row r="215" customFormat="false" ht="68.65" hidden="false" customHeight="false" outlineLevel="0" collapsed="false">
      <c r="A215" s="5" t="n">
        <v>214</v>
      </c>
      <c r="B215" s="5" t="s">
        <v>936</v>
      </c>
      <c r="C215" s="5" t="n">
        <v>2</v>
      </c>
      <c r="D215" s="5" t="s">
        <v>944</v>
      </c>
      <c r="E215" s="5" t="s">
        <v>1003</v>
      </c>
      <c r="F215" s="5" t="s">
        <v>1004</v>
      </c>
      <c r="G215" s="5" t="s">
        <v>940</v>
      </c>
      <c r="H215" s="5" t="s">
        <v>1005</v>
      </c>
      <c r="I215" s="5"/>
      <c r="J215" s="5"/>
      <c r="K215" s="8" t="s">
        <v>94</v>
      </c>
      <c r="L215" s="9" t="s">
        <v>46</v>
      </c>
      <c r="M215" s="10"/>
      <c r="N215" s="10"/>
      <c r="O215" s="10" t="s">
        <v>963</v>
      </c>
      <c r="P215" s="5" t="s">
        <v>943</v>
      </c>
    </row>
    <row r="216" customFormat="false" ht="68.65" hidden="false" customHeight="false" outlineLevel="0" collapsed="false">
      <c r="A216" s="5" t="n">
        <v>215</v>
      </c>
      <c r="B216" s="5" t="s">
        <v>936</v>
      </c>
      <c r="C216" s="5" t="n">
        <v>2</v>
      </c>
      <c r="D216" s="5" t="s">
        <v>944</v>
      </c>
      <c r="E216" s="5" t="s">
        <v>1006</v>
      </c>
      <c r="F216" s="5" t="s">
        <v>1007</v>
      </c>
      <c r="G216" s="5" t="s">
        <v>940</v>
      </c>
      <c r="H216" s="5" t="s">
        <v>1008</v>
      </c>
      <c r="I216" s="5"/>
      <c r="J216" s="5"/>
      <c r="K216" s="8" t="s">
        <v>94</v>
      </c>
      <c r="L216" s="9" t="s">
        <v>46</v>
      </c>
      <c r="M216" s="10"/>
      <c r="N216" s="10"/>
      <c r="O216" s="10" t="s">
        <v>963</v>
      </c>
      <c r="P216" s="5" t="s">
        <v>943</v>
      </c>
    </row>
    <row r="217" customFormat="false" ht="95.5" hidden="false" customHeight="false" outlineLevel="0" collapsed="false">
      <c r="A217" s="5" t="n">
        <v>216</v>
      </c>
      <c r="B217" s="5" t="s">
        <v>936</v>
      </c>
      <c r="C217" s="5" t="n">
        <v>2</v>
      </c>
      <c r="D217" s="5" t="s">
        <v>944</v>
      </c>
      <c r="E217" s="5" t="s">
        <v>1009</v>
      </c>
      <c r="F217" s="5" t="s">
        <v>1010</v>
      </c>
      <c r="G217" s="5" t="s">
        <v>940</v>
      </c>
      <c r="H217" s="5" t="s">
        <v>1011</v>
      </c>
      <c r="I217" s="5"/>
      <c r="J217" s="5"/>
      <c r="K217" s="8" t="s">
        <v>94</v>
      </c>
      <c r="L217" s="9" t="s">
        <v>46</v>
      </c>
      <c r="M217" s="10"/>
      <c r="N217" s="10"/>
      <c r="O217" s="10" t="s">
        <v>963</v>
      </c>
      <c r="P217" s="5" t="s">
        <v>943</v>
      </c>
    </row>
    <row r="218" customFormat="false" ht="82.05" hidden="false" customHeight="false" outlineLevel="0" collapsed="false">
      <c r="A218" s="5" t="n">
        <v>217</v>
      </c>
      <c r="B218" s="5" t="s">
        <v>936</v>
      </c>
      <c r="C218" s="5" t="n">
        <v>2</v>
      </c>
      <c r="D218" s="5" t="s">
        <v>944</v>
      </c>
      <c r="E218" s="5" t="s">
        <v>1012</v>
      </c>
      <c r="F218" s="5" t="s">
        <v>1013</v>
      </c>
      <c r="G218" s="5" t="s">
        <v>940</v>
      </c>
      <c r="H218" s="5" t="s">
        <v>1014</v>
      </c>
      <c r="I218" s="5"/>
      <c r="J218" s="5"/>
      <c r="K218" s="8" t="s">
        <v>94</v>
      </c>
      <c r="L218" s="9" t="s">
        <v>46</v>
      </c>
      <c r="M218" s="10"/>
      <c r="N218" s="10"/>
      <c r="O218" s="10" t="s">
        <v>1015</v>
      </c>
      <c r="P218" s="5" t="s">
        <v>943</v>
      </c>
    </row>
    <row r="219" customFormat="false" ht="82.05" hidden="false" customHeight="false" outlineLevel="0" collapsed="false">
      <c r="A219" s="5" t="n">
        <v>218</v>
      </c>
      <c r="B219" s="5" t="s">
        <v>936</v>
      </c>
      <c r="C219" s="5" t="n">
        <v>2</v>
      </c>
      <c r="D219" s="5" t="s">
        <v>937</v>
      </c>
      <c r="E219" s="5" t="s">
        <v>1016</v>
      </c>
      <c r="F219" s="5" t="s">
        <v>989</v>
      </c>
      <c r="G219" s="5" t="s">
        <v>940</v>
      </c>
      <c r="H219" s="5" t="s">
        <v>1017</v>
      </c>
      <c r="I219" s="5"/>
      <c r="J219" s="5"/>
      <c r="K219" s="8" t="s">
        <v>94</v>
      </c>
      <c r="L219" s="9" t="s">
        <v>46</v>
      </c>
      <c r="M219" s="10"/>
      <c r="N219" s="10"/>
      <c r="O219" s="10" t="s">
        <v>1018</v>
      </c>
      <c r="P219" s="5" t="s">
        <v>943</v>
      </c>
    </row>
    <row r="220" customFormat="false" ht="68.65" hidden="false" customHeight="false" outlineLevel="0" collapsed="false">
      <c r="A220" s="5" t="n">
        <v>219</v>
      </c>
      <c r="B220" s="5" t="s">
        <v>936</v>
      </c>
      <c r="C220" s="5" t="n">
        <v>2</v>
      </c>
      <c r="D220" s="5" t="s">
        <v>944</v>
      </c>
      <c r="E220" s="5" t="s">
        <v>1019</v>
      </c>
      <c r="F220" s="5"/>
      <c r="G220" s="5" t="s">
        <v>940</v>
      </c>
      <c r="H220" s="5" t="s">
        <v>1020</v>
      </c>
      <c r="I220" s="5"/>
      <c r="J220" s="5"/>
      <c r="K220" s="8" t="s">
        <v>94</v>
      </c>
      <c r="L220" s="9" t="s">
        <v>46</v>
      </c>
      <c r="M220" s="10"/>
      <c r="N220" s="10"/>
      <c r="O220" s="10" t="s">
        <v>963</v>
      </c>
      <c r="P220" s="5" t="s">
        <v>943</v>
      </c>
    </row>
    <row r="221" customFormat="false" ht="55.2" hidden="false" customHeight="false" outlineLevel="0" collapsed="false">
      <c r="A221" s="5" t="n">
        <v>220</v>
      </c>
      <c r="B221" s="5" t="s">
        <v>936</v>
      </c>
      <c r="C221" s="5" t="n">
        <v>2</v>
      </c>
      <c r="D221" s="5" t="s">
        <v>944</v>
      </c>
      <c r="E221" s="5" t="s">
        <v>1021</v>
      </c>
      <c r="F221" s="5"/>
      <c r="G221" s="5" t="s">
        <v>940</v>
      </c>
      <c r="H221" s="5" t="s">
        <v>1022</v>
      </c>
      <c r="I221" s="5"/>
      <c r="J221" s="5"/>
      <c r="K221" s="8" t="s">
        <v>94</v>
      </c>
      <c r="L221" s="9" t="s">
        <v>46</v>
      </c>
      <c r="M221" s="10"/>
      <c r="N221" s="10"/>
      <c r="O221" s="10" t="s">
        <v>963</v>
      </c>
      <c r="P221" s="5" t="s">
        <v>943</v>
      </c>
    </row>
    <row r="222" customFormat="false" ht="68.65" hidden="false" customHeight="false" outlineLevel="0" collapsed="false">
      <c r="A222" s="5" t="n">
        <v>221</v>
      </c>
      <c r="B222" s="5" t="s">
        <v>936</v>
      </c>
      <c r="C222" s="5" t="n">
        <v>2</v>
      </c>
      <c r="D222" s="5" t="s">
        <v>944</v>
      </c>
      <c r="E222" s="5" t="s">
        <v>1023</v>
      </c>
      <c r="F222" s="5" t="s">
        <v>1024</v>
      </c>
      <c r="G222" s="5" t="s">
        <v>940</v>
      </c>
      <c r="H222" s="5" t="s">
        <v>1025</v>
      </c>
      <c r="I222" s="5"/>
      <c r="J222" s="5"/>
      <c r="K222" s="8" t="s">
        <v>94</v>
      </c>
      <c r="L222" s="9" t="s">
        <v>46</v>
      </c>
      <c r="M222" s="10"/>
      <c r="N222" s="10"/>
      <c r="O222" s="10" t="s">
        <v>963</v>
      </c>
      <c r="P222" s="5" t="s">
        <v>943</v>
      </c>
    </row>
    <row r="223" customFormat="false" ht="95.5" hidden="false" customHeight="false" outlineLevel="0" collapsed="false">
      <c r="A223" s="5" t="n">
        <v>222</v>
      </c>
      <c r="B223" s="5" t="s">
        <v>936</v>
      </c>
      <c r="C223" s="5" t="n">
        <v>2</v>
      </c>
      <c r="D223" s="5" t="s">
        <v>944</v>
      </c>
      <c r="E223" s="5" t="s">
        <v>1026</v>
      </c>
      <c r="F223" s="5" t="s">
        <v>1027</v>
      </c>
      <c r="G223" s="5" t="s">
        <v>940</v>
      </c>
      <c r="H223" s="5" t="s">
        <v>1028</v>
      </c>
      <c r="I223" s="5"/>
      <c r="J223" s="5"/>
      <c r="K223" s="8" t="s">
        <v>94</v>
      </c>
      <c r="L223" s="9" t="s">
        <v>46</v>
      </c>
      <c r="M223" s="10"/>
      <c r="N223" s="10"/>
      <c r="O223" s="10" t="s">
        <v>963</v>
      </c>
      <c r="P223" s="5" t="s">
        <v>943</v>
      </c>
    </row>
    <row r="224" customFormat="false" ht="68.65" hidden="false" customHeight="false" outlineLevel="0" collapsed="false">
      <c r="A224" s="5" t="n">
        <v>223</v>
      </c>
      <c r="B224" s="5" t="s">
        <v>936</v>
      </c>
      <c r="C224" s="5" t="n">
        <v>2</v>
      </c>
      <c r="D224" s="5" t="s">
        <v>1029</v>
      </c>
      <c r="E224" s="5" t="s">
        <v>1030</v>
      </c>
      <c r="F224" s="5" t="s">
        <v>969</v>
      </c>
      <c r="G224" s="5" t="s">
        <v>940</v>
      </c>
      <c r="H224" s="5" t="s">
        <v>1031</v>
      </c>
      <c r="I224" s="5"/>
      <c r="J224" s="5"/>
      <c r="K224" s="8" t="s">
        <v>94</v>
      </c>
      <c r="L224" s="9" t="s">
        <v>46</v>
      </c>
      <c r="M224" s="10"/>
      <c r="N224" s="10"/>
      <c r="O224" s="10" t="s">
        <v>1032</v>
      </c>
      <c r="P224" s="5" t="s">
        <v>943</v>
      </c>
    </row>
    <row r="225" customFormat="false" ht="68.65" hidden="false" customHeight="false" outlineLevel="0" collapsed="false">
      <c r="A225" s="5" t="n">
        <v>224</v>
      </c>
      <c r="B225" s="5" t="s">
        <v>936</v>
      </c>
      <c r="C225" s="5" t="n">
        <v>2</v>
      </c>
      <c r="D225" s="5" t="s">
        <v>1029</v>
      </c>
      <c r="E225" s="5" t="s">
        <v>1033</v>
      </c>
      <c r="F225" s="5" t="s">
        <v>1034</v>
      </c>
      <c r="G225" s="5" t="s">
        <v>940</v>
      </c>
      <c r="H225" s="5" t="s">
        <v>1035</v>
      </c>
      <c r="I225" s="5"/>
      <c r="J225" s="5"/>
      <c r="K225" s="8" t="s">
        <v>94</v>
      </c>
      <c r="L225" s="9" t="s">
        <v>46</v>
      </c>
      <c r="M225" s="10"/>
      <c r="N225" s="10"/>
      <c r="O225" s="10" t="s">
        <v>1036</v>
      </c>
      <c r="P225" s="5" t="s">
        <v>943</v>
      </c>
    </row>
    <row r="226" customFormat="false" ht="68.65" hidden="false" customHeight="false" outlineLevel="0" collapsed="false">
      <c r="A226" s="5" t="n">
        <v>225</v>
      </c>
      <c r="B226" s="5" t="s">
        <v>936</v>
      </c>
      <c r="C226" s="5" t="n">
        <v>2</v>
      </c>
      <c r="D226" s="5" t="s">
        <v>1029</v>
      </c>
      <c r="E226" s="5" t="s">
        <v>1037</v>
      </c>
      <c r="F226" s="5" t="s">
        <v>989</v>
      </c>
      <c r="G226" s="5" t="s">
        <v>940</v>
      </c>
      <c r="H226" s="5" t="s">
        <v>1038</v>
      </c>
      <c r="I226" s="5"/>
      <c r="J226" s="5"/>
      <c r="K226" s="8" t="s">
        <v>94</v>
      </c>
      <c r="L226" s="9" t="s">
        <v>46</v>
      </c>
      <c r="M226" s="10"/>
      <c r="N226" s="10"/>
      <c r="O226" s="10" t="s">
        <v>1039</v>
      </c>
      <c r="P226" s="5" t="s">
        <v>943</v>
      </c>
    </row>
    <row r="227" customFormat="false" ht="82.05" hidden="false" customHeight="false" outlineLevel="0" collapsed="false">
      <c r="A227" s="5" t="n">
        <v>226</v>
      </c>
      <c r="B227" s="5" t="s">
        <v>936</v>
      </c>
      <c r="C227" s="5" t="n">
        <v>2</v>
      </c>
      <c r="D227" s="5" t="s">
        <v>944</v>
      </c>
      <c r="E227" s="5" t="s">
        <v>1040</v>
      </c>
      <c r="F227" s="5" t="s">
        <v>1000</v>
      </c>
      <c r="G227" s="5" t="s">
        <v>940</v>
      </c>
      <c r="H227" s="5" t="s">
        <v>1041</v>
      </c>
      <c r="I227" s="5"/>
      <c r="J227" s="5"/>
      <c r="K227" s="8" t="s">
        <v>94</v>
      </c>
      <c r="L227" s="9" t="s">
        <v>46</v>
      </c>
      <c r="M227" s="10"/>
      <c r="N227" s="10"/>
      <c r="O227" s="10" t="s">
        <v>1042</v>
      </c>
      <c r="P227" s="5" t="s">
        <v>943</v>
      </c>
    </row>
    <row r="228" customFormat="false" ht="82.05" hidden="false" customHeight="false" outlineLevel="0" collapsed="false">
      <c r="A228" s="5" t="n">
        <v>227</v>
      </c>
      <c r="B228" s="5" t="s">
        <v>936</v>
      </c>
      <c r="C228" s="5" t="n">
        <v>3</v>
      </c>
      <c r="D228" s="5" t="s">
        <v>937</v>
      </c>
      <c r="E228" s="5" t="s">
        <v>1043</v>
      </c>
      <c r="F228" s="5" t="s">
        <v>1044</v>
      </c>
      <c r="G228" s="5" t="s">
        <v>940</v>
      </c>
      <c r="H228" s="5" t="s">
        <v>1045</v>
      </c>
      <c r="I228" s="5"/>
      <c r="J228" s="5"/>
      <c r="K228" s="8" t="s">
        <v>94</v>
      </c>
      <c r="L228" s="9" t="s">
        <v>46</v>
      </c>
      <c r="M228" s="10"/>
      <c r="N228" s="10"/>
      <c r="O228" s="10" t="s">
        <v>1046</v>
      </c>
      <c r="P228" s="5" t="s">
        <v>943</v>
      </c>
    </row>
    <row r="229" customFormat="false" ht="55.2" hidden="false" customHeight="false" outlineLevel="0" collapsed="false">
      <c r="A229" s="5" t="n">
        <v>228</v>
      </c>
      <c r="B229" s="5" t="s">
        <v>936</v>
      </c>
      <c r="C229" s="5" t="n">
        <v>3</v>
      </c>
      <c r="D229" s="5" t="s">
        <v>944</v>
      </c>
      <c r="E229" s="5" t="s">
        <v>1047</v>
      </c>
      <c r="F229" s="5" t="s">
        <v>989</v>
      </c>
      <c r="G229" s="5" t="s">
        <v>940</v>
      </c>
      <c r="H229" s="5" t="s">
        <v>1048</v>
      </c>
      <c r="I229" s="5"/>
      <c r="J229" s="5"/>
      <c r="K229" s="8" t="s">
        <v>94</v>
      </c>
      <c r="L229" s="9" t="s">
        <v>46</v>
      </c>
      <c r="M229" s="10"/>
      <c r="N229" s="10"/>
      <c r="O229" s="10" t="s">
        <v>1049</v>
      </c>
      <c r="P229" s="5" t="s">
        <v>943</v>
      </c>
    </row>
    <row r="230" customFormat="false" ht="68.65" hidden="false" customHeight="false" outlineLevel="0" collapsed="false">
      <c r="A230" s="5" t="n">
        <v>229</v>
      </c>
      <c r="B230" s="5" t="s">
        <v>936</v>
      </c>
      <c r="C230" s="5" t="n">
        <v>3</v>
      </c>
      <c r="D230" s="5" t="s">
        <v>944</v>
      </c>
      <c r="E230" s="5" t="s">
        <v>1050</v>
      </c>
      <c r="F230" s="5" t="s">
        <v>1051</v>
      </c>
      <c r="G230" s="5" t="s">
        <v>940</v>
      </c>
      <c r="H230" s="5" t="s">
        <v>1052</v>
      </c>
      <c r="I230" s="5"/>
      <c r="J230" s="5"/>
      <c r="K230" s="8" t="s">
        <v>94</v>
      </c>
      <c r="L230" s="9" t="s">
        <v>46</v>
      </c>
      <c r="M230" s="10"/>
      <c r="N230" s="10"/>
      <c r="O230" s="10" t="s">
        <v>1053</v>
      </c>
      <c r="P230" s="5" t="s">
        <v>943</v>
      </c>
    </row>
    <row r="231" customFormat="false" ht="55.2" hidden="false" customHeight="false" outlineLevel="0" collapsed="false">
      <c r="A231" s="5" t="n">
        <v>230</v>
      </c>
      <c r="B231" s="5" t="s">
        <v>936</v>
      </c>
      <c r="C231" s="5" t="n">
        <v>3</v>
      </c>
      <c r="D231" s="5" t="s">
        <v>944</v>
      </c>
      <c r="E231" s="5" t="s">
        <v>1054</v>
      </c>
      <c r="F231" s="5" t="s">
        <v>1055</v>
      </c>
      <c r="G231" s="5" t="s">
        <v>940</v>
      </c>
      <c r="H231" s="5" t="s">
        <v>1056</v>
      </c>
      <c r="I231" s="5"/>
      <c r="J231" s="5"/>
      <c r="K231" s="8" t="s">
        <v>94</v>
      </c>
      <c r="L231" s="9" t="s">
        <v>46</v>
      </c>
      <c r="M231" s="10"/>
      <c r="N231" s="10"/>
      <c r="O231" s="10" t="s">
        <v>1057</v>
      </c>
      <c r="P231" s="5" t="s">
        <v>943</v>
      </c>
    </row>
    <row r="232" customFormat="false" ht="41.75" hidden="false" customHeight="false" outlineLevel="0" collapsed="false">
      <c r="A232" s="5" t="n">
        <v>231</v>
      </c>
      <c r="B232" s="5" t="s">
        <v>936</v>
      </c>
      <c r="C232" s="5" t="n">
        <v>3</v>
      </c>
      <c r="D232" s="5" t="s">
        <v>944</v>
      </c>
      <c r="E232" s="5" t="s">
        <v>1058</v>
      </c>
      <c r="F232" s="5" t="s">
        <v>1059</v>
      </c>
      <c r="G232" s="5" t="s">
        <v>940</v>
      </c>
      <c r="H232" s="5" t="s">
        <v>1060</v>
      </c>
      <c r="I232" s="5"/>
      <c r="J232" s="5"/>
      <c r="K232" s="8" t="s">
        <v>94</v>
      </c>
      <c r="L232" s="9" t="s">
        <v>46</v>
      </c>
      <c r="M232" s="10"/>
      <c r="N232" s="10"/>
      <c r="O232" s="10" t="s">
        <v>1061</v>
      </c>
      <c r="P232" s="5" t="s">
        <v>943</v>
      </c>
    </row>
    <row r="233" customFormat="false" ht="55.2" hidden="false" customHeight="false" outlineLevel="0" collapsed="false">
      <c r="A233" s="5" t="n">
        <v>232</v>
      </c>
      <c r="B233" s="5" t="s">
        <v>936</v>
      </c>
      <c r="C233" s="5" t="n">
        <v>3</v>
      </c>
      <c r="D233" s="5" t="s">
        <v>944</v>
      </c>
      <c r="E233" s="5" t="s">
        <v>1062</v>
      </c>
      <c r="F233" s="5" t="s">
        <v>1059</v>
      </c>
      <c r="G233" s="5" t="s">
        <v>940</v>
      </c>
      <c r="H233" s="5" t="s">
        <v>1063</v>
      </c>
      <c r="I233" s="5"/>
      <c r="J233" s="5"/>
      <c r="K233" s="8" t="s">
        <v>94</v>
      </c>
      <c r="L233" s="9" t="s">
        <v>46</v>
      </c>
      <c r="M233" s="10"/>
      <c r="N233" s="10"/>
      <c r="O233" s="10" t="s">
        <v>1064</v>
      </c>
      <c r="P233" s="5" t="s">
        <v>943</v>
      </c>
    </row>
    <row r="234" customFormat="false" ht="55.2" hidden="false" customHeight="false" outlineLevel="0" collapsed="false">
      <c r="A234" s="5" t="n">
        <v>233</v>
      </c>
      <c r="B234" s="5" t="s">
        <v>936</v>
      </c>
      <c r="C234" s="5" t="n">
        <v>3</v>
      </c>
      <c r="D234" s="5" t="s">
        <v>944</v>
      </c>
      <c r="E234" s="5" t="s">
        <v>1065</v>
      </c>
      <c r="F234" s="5" t="s">
        <v>1066</v>
      </c>
      <c r="G234" s="5" t="s">
        <v>940</v>
      </c>
      <c r="H234" s="5" t="s">
        <v>1067</v>
      </c>
      <c r="I234" s="5"/>
      <c r="J234" s="5"/>
      <c r="K234" s="8" t="s">
        <v>94</v>
      </c>
      <c r="L234" s="9" t="s">
        <v>46</v>
      </c>
      <c r="M234" s="10"/>
      <c r="N234" s="10"/>
      <c r="O234" s="10" t="s">
        <v>1068</v>
      </c>
      <c r="P234" s="5" t="s">
        <v>943</v>
      </c>
    </row>
    <row r="235" customFormat="false" ht="55.2" hidden="false" customHeight="false" outlineLevel="0" collapsed="false">
      <c r="A235" s="5" t="n">
        <v>234</v>
      </c>
      <c r="B235" s="5" t="s">
        <v>936</v>
      </c>
      <c r="C235" s="5" t="n">
        <v>3</v>
      </c>
      <c r="D235" s="5" t="s">
        <v>944</v>
      </c>
      <c r="E235" s="5" t="s">
        <v>1069</v>
      </c>
      <c r="F235" s="5" t="s">
        <v>1070</v>
      </c>
      <c r="G235" s="5" t="s">
        <v>940</v>
      </c>
      <c r="H235" s="5" t="s">
        <v>1071</v>
      </c>
      <c r="I235" s="5"/>
      <c r="J235" s="5"/>
      <c r="K235" s="8" t="s">
        <v>94</v>
      </c>
      <c r="L235" s="9" t="s">
        <v>46</v>
      </c>
      <c r="M235" s="10"/>
      <c r="N235" s="10"/>
      <c r="O235" s="10" t="s">
        <v>1072</v>
      </c>
      <c r="P235" s="5" t="s">
        <v>943</v>
      </c>
    </row>
    <row r="236" customFormat="false" ht="68.65" hidden="false" customHeight="false" outlineLevel="0" collapsed="false">
      <c r="A236" s="5" t="n">
        <v>235</v>
      </c>
      <c r="B236" s="5" t="s">
        <v>936</v>
      </c>
      <c r="C236" s="5" t="n">
        <v>3</v>
      </c>
      <c r="D236" s="5" t="s">
        <v>944</v>
      </c>
      <c r="E236" s="5" t="s">
        <v>1073</v>
      </c>
      <c r="F236" s="5" t="s">
        <v>1074</v>
      </c>
      <c r="G236" s="5" t="s">
        <v>940</v>
      </c>
      <c r="H236" s="5" t="s">
        <v>1075</v>
      </c>
      <c r="I236" s="5"/>
      <c r="J236" s="5"/>
      <c r="K236" s="8" t="s">
        <v>94</v>
      </c>
      <c r="L236" s="9" t="s">
        <v>46</v>
      </c>
      <c r="M236" s="10"/>
      <c r="N236" s="10"/>
      <c r="O236" s="10" t="s">
        <v>1076</v>
      </c>
      <c r="P236" s="5" t="s">
        <v>943</v>
      </c>
    </row>
    <row r="237" customFormat="false" ht="68.65" hidden="false" customHeight="false" outlineLevel="0" collapsed="false">
      <c r="A237" s="5" t="n">
        <v>236</v>
      </c>
      <c r="B237" s="5" t="s">
        <v>936</v>
      </c>
      <c r="C237" s="5" t="n">
        <v>3</v>
      </c>
      <c r="D237" s="5" t="s">
        <v>1077</v>
      </c>
      <c r="E237" s="5" t="s">
        <v>1078</v>
      </c>
      <c r="F237" s="5" t="s">
        <v>989</v>
      </c>
      <c r="G237" s="5" t="s">
        <v>940</v>
      </c>
      <c r="H237" s="5" t="s">
        <v>1079</v>
      </c>
      <c r="I237" s="5"/>
      <c r="J237" s="5"/>
      <c r="K237" s="8" t="s">
        <v>94</v>
      </c>
      <c r="L237" s="9" t="s">
        <v>46</v>
      </c>
      <c r="M237" s="10"/>
      <c r="N237" s="10"/>
      <c r="O237" s="10" t="s">
        <v>1080</v>
      </c>
      <c r="P237" s="5" t="s">
        <v>943</v>
      </c>
    </row>
    <row r="238" customFormat="false" ht="82.05" hidden="false" customHeight="false" outlineLevel="0" collapsed="false">
      <c r="A238" s="5" t="n">
        <v>237</v>
      </c>
      <c r="B238" s="5" t="s">
        <v>936</v>
      </c>
      <c r="C238" s="5" t="n">
        <v>3</v>
      </c>
      <c r="D238" s="5" t="s">
        <v>953</v>
      </c>
      <c r="E238" s="5" t="s">
        <v>1081</v>
      </c>
      <c r="F238" s="5" t="s">
        <v>1082</v>
      </c>
      <c r="G238" s="5" t="s">
        <v>940</v>
      </c>
      <c r="H238" s="5" t="s">
        <v>1083</v>
      </c>
      <c r="I238" s="5"/>
      <c r="J238" s="5"/>
      <c r="K238" s="8" t="s">
        <v>94</v>
      </c>
      <c r="L238" s="9" t="s">
        <v>46</v>
      </c>
      <c r="M238" s="10"/>
      <c r="N238" s="10"/>
      <c r="O238" s="10" t="s">
        <v>1084</v>
      </c>
      <c r="P238" s="5" t="s">
        <v>943</v>
      </c>
    </row>
    <row r="239" customFormat="false" ht="68.65" hidden="false" customHeight="false" outlineLevel="0" collapsed="false">
      <c r="A239" s="5" t="n">
        <v>238</v>
      </c>
      <c r="B239" s="5" t="s">
        <v>936</v>
      </c>
      <c r="C239" s="5" t="n">
        <v>3</v>
      </c>
      <c r="D239" s="5" t="s">
        <v>1077</v>
      </c>
      <c r="E239" s="5" t="s">
        <v>1085</v>
      </c>
      <c r="F239" s="5" t="s">
        <v>1086</v>
      </c>
      <c r="G239" s="5" t="s">
        <v>940</v>
      </c>
      <c r="H239" s="5" t="s">
        <v>1087</v>
      </c>
      <c r="I239" s="5"/>
      <c r="J239" s="5"/>
      <c r="K239" s="8" t="s">
        <v>94</v>
      </c>
      <c r="L239" s="9" t="s">
        <v>46</v>
      </c>
      <c r="M239" s="10"/>
      <c r="N239" s="10"/>
      <c r="O239" s="10" t="s">
        <v>1088</v>
      </c>
      <c r="P239" s="5" t="s">
        <v>943</v>
      </c>
    </row>
    <row r="240" customFormat="false" ht="82.05" hidden="false" customHeight="false" outlineLevel="0" collapsed="false">
      <c r="A240" s="5" t="n">
        <v>239</v>
      </c>
      <c r="B240" s="5" t="s">
        <v>936</v>
      </c>
      <c r="C240" s="5" t="n">
        <v>3</v>
      </c>
      <c r="D240" s="5" t="s">
        <v>944</v>
      </c>
      <c r="E240" s="5" t="s">
        <v>1089</v>
      </c>
      <c r="F240" s="5" t="s">
        <v>1090</v>
      </c>
      <c r="G240" s="5" t="s">
        <v>940</v>
      </c>
      <c r="H240" s="5" t="s">
        <v>1091</v>
      </c>
      <c r="I240" s="5"/>
      <c r="J240" s="5"/>
      <c r="K240" s="8" t="s">
        <v>94</v>
      </c>
      <c r="L240" s="9" t="s">
        <v>46</v>
      </c>
      <c r="M240" s="10"/>
      <c r="N240" s="10"/>
      <c r="O240" s="10" t="s">
        <v>1092</v>
      </c>
      <c r="P240" s="5" t="s">
        <v>943</v>
      </c>
    </row>
    <row r="241" customFormat="false" ht="55.2" hidden="false" customHeight="false" outlineLevel="0" collapsed="false">
      <c r="A241" s="5" t="n">
        <v>240</v>
      </c>
      <c r="B241" s="5" t="s">
        <v>936</v>
      </c>
      <c r="C241" s="5" t="n">
        <v>3</v>
      </c>
      <c r="D241" s="5" t="s">
        <v>944</v>
      </c>
      <c r="E241" s="5" t="s">
        <v>1093</v>
      </c>
      <c r="F241" s="5" t="s">
        <v>1094</v>
      </c>
      <c r="G241" s="5" t="s">
        <v>940</v>
      </c>
      <c r="H241" s="5" t="s">
        <v>1095</v>
      </c>
      <c r="I241" s="5"/>
      <c r="J241" s="5"/>
      <c r="K241" s="8" t="s">
        <v>94</v>
      </c>
      <c r="L241" s="9" t="s">
        <v>46</v>
      </c>
      <c r="M241" s="10"/>
      <c r="N241" s="10"/>
      <c r="O241" s="10" t="s">
        <v>1096</v>
      </c>
      <c r="P241" s="5" t="s">
        <v>943</v>
      </c>
    </row>
    <row r="242" customFormat="false" ht="55.2" hidden="false" customHeight="false" outlineLevel="0" collapsed="false">
      <c r="A242" s="5" t="n">
        <v>241</v>
      </c>
      <c r="B242" s="5" t="s">
        <v>936</v>
      </c>
      <c r="C242" s="5" t="n">
        <v>3</v>
      </c>
      <c r="D242" s="5" t="s">
        <v>937</v>
      </c>
      <c r="E242" s="5" t="s">
        <v>1097</v>
      </c>
      <c r="F242" s="5" t="s">
        <v>1086</v>
      </c>
      <c r="G242" s="5" t="s">
        <v>940</v>
      </c>
      <c r="H242" s="5" t="s">
        <v>1098</v>
      </c>
      <c r="I242" s="5"/>
      <c r="J242" s="5"/>
      <c r="K242" s="8" t="s">
        <v>94</v>
      </c>
      <c r="L242" s="9" t="s">
        <v>46</v>
      </c>
      <c r="M242" s="10"/>
      <c r="N242" s="10"/>
      <c r="O242" s="10" t="s">
        <v>1099</v>
      </c>
      <c r="P242" s="5" t="s">
        <v>943</v>
      </c>
    </row>
    <row r="243" customFormat="false" ht="55.2" hidden="false" customHeight="false" outlineLevel="0" collapsed="false">
      <c r="A243" s="5" t="n">
        <v>242</v>
      </c>
      <c r="B243" s="5" t="s">
        <v>936</v>
      </c>
      <c r="C243" s="5" t="n">
        <v>3</v>
      </c>
      <c r="D243" s="5" t="s">
        <v>944</v>
      </c>
      <c r="E243" s="5" t="s">
        <v>1100</v>
      </c>
      <c r="F243" s="5"/>
      <c r="G243" s="5" t="s">
        <v>940</v>
      </c>
      <c r="H243" s="5" t="s">
        <v>1101</v>
      </c>
      <c r="I243" s="5"/>
      <c r="J243" s="5"/>
      <c r="K243" s="8" t="s">
        <v>94</v>
      </c>
      <c r="L243" s="9" t="s">
        <v>46</v>
      </c>
      <c r="M243" s="10"/>
      <c r="N243" s="10"/>
      <c r="O243" s="10" t="s">
        <v>1102</v>
      </c>
      <c r="P243" s="5" t="s">
        <v>943</v>
      </c>
    </row>
    <row r="244" customFormat="false" ht="82.05" hidden="false" customHeight="false" outlineLevel="0" collapsed="false">
      <c r="A244" s="5" t="n">
        <v>243</v>
      </c>
      <c r="B244" s="5" t="s">
        <v>936</v>
      </c>
      <c r="C244" s="5" t="n">
        <v>3</v>
      </c>
      <c r="D244" s="5" t="s">
        <v>937</v>
      </c>
      <c r="E244" s="5" t="s">
        <v>1103</v>
      </c>
      <c r="F244" s="5" t="s">
        <v>1104</v>
      </c>
      <c r="G244" s="5" t="s">
        <v>940</v>
      </c>
      <c r="H244" s="5" t="s">
        <v>1105</v>
      </c>
      <c r="I244" s="5"/>
      <c r="J244" s="5"/>
      <c r="K244" s="8" t="s">
        <v>94</v>
      </c>
      <c r="L244" s="9" t="s">
        <v>46</v>
      </c>
      <c r="M244" s="10"/>
      <c r="N244" s="10"/>
      <c r="O244" s="10" t="s">
        <v>1106</v>
      </c>
      <c r="P244" s="5" t="s">
        <v>943</v>
      </c>
    </row>
    <row r="245" customFormat="false" ht="68.65" hidden="false" customHeight="false" outlineLevel="0" collapsed="false">
      <c r="A245" s="5" t="n">
        <v>244</v>
      </c>
      <c r="B245" s="5" t="s">
        <v>936</v>
      </c>
      <c r="C245" s="5" t="n">
        <v>3</v>
      </c>
      <c r="D245" s="5" t="s">
        <v>944</v>
      </c>
      <c r="E245" s="5" t="s">
        <v>1107</v>
      </c>
      <c r="F245" s="5" t="s">
        <v>1108</v>
      </c>
      <c r="G245" s="5" t="s">
        <v>940</v>
      </c>
      <c r="H245" s="5" t="s">
        <v>1109</v>
      </c>
      <c r="I245" s="5"/>
      <c r="J245" s="5"/>
      <c r="K245" s="8" t="s">
        <v>94</v>
      </c>
      <c r="L245" s="9" t="s">
        <v>46</v>
      </c>
      <c r="M245" s="10"/>
      <c r="N245" s="10"/>
      <c r="O245" s="10" t="s">
        <v>1110</v>
      </c>
      <c r="P245" s="5" t="s">
        <v>943</v>
      </c>
    </row>
    <row r="246" customFormat="false" ht="55.2" hidden="false" customHeight="false" outlineLevel="0" collapsed="false">
      <c r="A246" s="5" t="n">
        <v>245</v>
      </c>
      <c r="B246" s="5" t="s">
        <v>936</v>
      </c>
      <c r="C246" s="5" t="n">
        <v>3</v>
      </c>
      <c r="D246" s="5" t="s">
        <v>1029</v>
      </c>
      <c r="E246" s="5" t="s">
        <v>1111</v>
      </c>
      <c r="F246" s="5" t="s">
        <v>1112</v>
      </c>
      <c r="G246" s="5" t="s">
        <v>940</v>
      </c>
      <c r="H246" s="5" t="s">
        <v>1113</v>
      </c>
      <c r="I246" s="5"/>
      <c r="J246" s="5"/>
      <c r="K246" s="8" t="s">
        <v>94</v>
      </c>
      <c r="L246" s="9" t="s">
        <v>46</v>
      </c>
      <c r="M246" s="10"/>
      <c r="N246" s="10"/>
      <c r="O246" s="10" t="s">
        <v>1114</v>
      </c>
      <c r="P246" s="5" t="s">
        <v>943</v>
      </c>
    </row>
    <row r="247" customFormat="false" ht="68.65" hidden="false" customHeight="false" outlineLevel="0" collapsed="false">
      <c r="A247" s="5" t="n">
        <v>246</v>
      </c>
      <c r="B247" s="5" t="s">
        <v>936</v>
      </c>
      <c r="C247" s="5" t="n">
        <v>3</v>
      </c>
      <c r="D247" s="5" t="s">
        <v>1029</v>
      </c>
      <c r="E247" s="5" t="s">
        <v>1115</v>
      </c>
      <c r="F247" s="5" t="s">
        <v>1116</v>
      </c>
      <c r="G247" s="5" t="s">
        <v>940</v>
      </c>
      <c r="H247" s="5" t="s">
        <v>1117</v>
      </c>
      <c r="I247" s="5"/>
      <c r="J247" s="5"/>
      <c r="K247" s="8" t="s">
        <v>94</v>
      </c>
      <c r="L247" s="9" t="s">
        <v>46</v>
      </c>
      <c r="M247" s="10"/>
      <c r="N247" s="10"/>
      <c r="O247" s="10" t="s">
        <v>1118</v>
      </c>
      <c r="P247" s="5" t="s">
        <v>943</v>
      </c>
    </row>
    <row r="248" customFormat="false" ht="68.65" hidden="false" customHeight="false" outlineLevel="0" collapsed="false">
      <c r="A248" s="5" t="n">
        <v>247</v>
      </c>
      <c r="B248" s="5" t="s">
        <v>936</v>
      </c>
      <c r="C248" s="5" t="n">
        <v>3</v>
      </c>
      <c r="D248" s="5" t="s">
        <v>953</v>
      </c>
      <c r="E248" s="5" t="s">
        <v>1119</v>
      </c>
      <c r="F248" s="5" t="s">
        <v>1120</v>
      </c>
      <c r="G248" s="5" t="s">
        <v>940</v>
      </c>
      <c r="H248" s="5" t="s">
        <v>1121</v>
      </c>
      <c r="I248" s="5"/>
      <c r="J248" s="5"/>
      <c r="K248" s="8" t="s">
        <v>94</v>
      </c>
      <c r="L248" s="9" t="s">
        <v>46</v>
      </c>
      <c r="M248" s="10"/>
      <c r="N248" s="10"/>
      <c r="O248" s="10" t="s">
        <v>1122</v>
      </c>
      <c r="P248" s="5" t="s">
        <v>943</v>
      </c>
    </row>
    <row r="249" customFormat="false" ht="68.65" hidden="false" customHeight="false" outlineLevel="0" collapsed="false">
      <c r="A249" s="5" t="n">
        <v>248</v>
      </c>
      <c r="B249" s="5" t="s">
        <v>936</v>
      </c>
      <c r="C249" s="5" t="n">
        <v>3</v>
      </c>
      <c r="D249" s="5" t="s">
        <v>944</v>
      </c>
      <c r="E249" s="5" t="s">
        <v>1123</v>
      </c>
      <c r="F249" s="5" t="s">
        <v>1124</v>
      </c>
      <c r="G249" s="5" t="s">
        <v>940</v>
      </c>
      <c r="H249" s="5" t="s">
        <v>1125</v>
      </c>
      <c r="I249" s="5"/>
      <c r="J249" s="5"/>
      <c r="K249" s="8" t="s">
        <v>94</v>
      </c>
      <c r="L249" s="9" t="s">
        <v>46</v>
      </c>
      <c r="M249" s="10"/>
      <c r="N249" s="10"/>
      <c r="O249" s="10" t="s">
        <v>1076</v>
      </c>
      <c r="P249" s="5" t="s">
        <v>943</v>
      </c>
    </row>
    <row r="250" customFormat="false" ht="68.65" hidden="false" customHeight="false" outlineLevel="0" collapsed="false">
      <c r="A250" s="5" t="n">
        <v>249</v>
      </c>
      <c r="B250" s="5" t="s">
        <v>936</v>
      </c>
      <c r="C250" s="5" t="n">
        <v>3</v>
      </c>
      <c r="D250" s="5" t="s">
        <v>953</v>
      </c>
      <c r="E250" s="5" t="s">
        <v>1126</v>
      </c>
      <c r="F250" s="5" t="s">
        <v>1066</v>
      </c>
      <c r="G250" s="5" t="s">
        <v>940</v>
      </c>
      <c r="H250" s="5" t="s">
        <v>1127</v>
      </c>
      <c r="I250" s="5"/>
      <c r="J250" s="5"/>
      <c r="K250" s="8" t="s">
        <v>94</v>
      </c>
      <c r="L250" s="9" t="s">
        <v>46</v>
      </c>
      <c r="M250" s="10"/>
      <c r="N250" s="10"/>
      <c r="O250" s="10" t="s">
        <v>1128</v>
      </c>
      <c r="P250" s="5" t="s">
        <v>943</v>
      </c>
    </row>
  </sheetData>
  <autoFilter ref="A1:P250"/>
  <dataValidations count="1">
    <dataValidation allowBlank="true" errorStyle="stop" operator="between" showDropDown="false" showErrorMessage="true" showInputMessage="false" sqref="L2:L450" type="list">
      <formula1>"À contacter,À étudier,Contacté,Relancé,Intéressé,Devis envoyé,Vendu,Pas intéressé,Ne plus contacter"</formula1>
      <formula2>0</formula2>
    </dataValidation>
  </dataValidations>
  <hyperlinks>
    <hyperlink ref="I2" r:id="rId1" display="www.abl-negoce.fr"/>
    <hyperlink ref="K2" r:id="rId2" display="Voir"/>
    <hyperlink ref="I3" r:id="rId3" display="magasins.bigmat.fr/normandie/eure/evreux/bigmat-evreux-mvr-materiaux-144"/>
    <hyperlink ref="K3" r:id="rId4" display="Voir"/>
    <hyperlink ref="I4" r:id="rId5" display="www.carrelages-dente.fr"/>
    <hyperlink ref="K4" r:id="rId6" display="Voir"/>
    <hyperlink ref="K5" r:id="rId7" display="Voir"/>
    <hyperlink ref="I6" r:id="rId8" display="www.lemondedelapierre.fr"/>
    <hyperlink ref="K6" r:id="rId9" display="Voir"/>
    <hyperlink ref="I7" r:id="rId10" display="www.midi-carrelage.fr"/>
    <hyperlink ref="K7" r:id="rId11" display="Voir"/>
    <hyperlink ref="I8" r:id="rId12" display="www.nivault.com"/>
    <hyperlink ref="K8" r:id="rId13" display="Voir"/>
    <hyperlink ref="I9" r:id="rId14" display="www.paysagesconseil.fr/paysagiste-caen"/>
    <hyperlink ref="K9" r:id="rId15" display="Voir"/>
    <hyperlink ref="I10" r:id="rId16" display="www.pillaud-materiaux.com"/>
    <hyperlink ref="K10" r:id="rId17" display="Voir"/>
    <hyperlink ref="I11" r:id="rId18" display="www.sedelka.fr"/>
    <hyperlink ref="K11" r:id="rId19" display="Voir"/>
    <hyperlink ref="I12" r:id="rId20" display="www.solmur.fr"/>
    <hyperlink ref="K12" r:id="rId21" display="Voir"/>
    <hyperlink ref="I13" r:id="rId22" display="www.tendancecarrelagesrouen.fr"/>
    <hyperlink ref="K13" r:id="rId23" display="Voir"/>
    <hyperlink ref="I14" r:id="rId24" display="www.torchio.fr"/>
    <hyperlink ref="K14" r:id="rId25" display="Voir"/>
    <hyperlink ref="I15" r:id="rId26" display="www.tragin-sa.com"/>
    <hyperlink ref="K15" r:id="rId27" display="Voir"/>
    <hyperlink ref="I16" r:id="rId28" display="www.batimantes.fr"/>
    <hyperlink ref="K16" r:id="rId29" display="Voir"/>
    <hyperlink ref="I17" r:id="rId30" display="coignieres.mondial-piscine.eu"/>
    <hyperlink ref="K17" r:id="rId31" display="Voir"/>
    <hyperlink ref="K18" r:id="rId32" display="Voir"/>
    <hyperlink ref="I19" r:id="rId33" display="www.carrelage-design-95.fr"/>
    <hyperlink ref="K19" r:id="rId34" display="Voir"/>
    <hyperlink ref="I20" r:id="rId35" display="www.carrelage-roger.com"/>
    <hyperlink ref="K20" r:id="rId36" display="Voir"/>
    <hyperlink ref="K21" r:id="rId37" display="Voir"/>
    <hyperlink ref="I22" r:id="rId38" display="www.ceramico.fr"/>
    <hyperlink ref="K22" r:id="rId39" display="Voir"/>
    <hyperlink ref="I23" r:id="rId40" display="www.decomarbre.fr"/>
    <hyperlink ref="K23" r:id="rId41" display="Voir"/>
    <hyperlink ref="I24" r:id="rId42" display="flipo.fr"/>
    <hyperlink ref="K24" r:id="rId43" display="Voir"/>
    <hyperlink ref="I25" r:id="rId44" display="www.gedimat.fr/2264-magasin-gedimat-aux-docks-de-clamart-clamart.htm"/>
    <hyperlink ref="K25" r:id="rId45" display="Voir"/>
    <hyperlink ref="I26" r:id="rId46" display="www.gedimat.fr/2034-magasin-gedimat-sefor-houilles.htm"/>
    <hyperlink ref="K26" r:id="rId47" display="Voir"/>
    <hyperlink ref="I27" r:id="rId48" display="kap-carrelage.store"/>
    <hyperlink ref="K27" r:id="rId49" display="Voir"/>
    <hyperlink ref="K28" r:id="rId50" display="Voir"/>
    <hyperlink ref="I29" r:id="rId51" display="leholloco.com"/>
    <hyperlink ref="K29" r:id="rId52" display="Voir"/>
    <hyperlink ref="I30" r:id="rId53" display="lemondedesjardins.fr"/>
    <hyperlink ref="K30" r:id="rId54" display="Voir"/>
    <hyperlink ref="I31" r:id="rId55" display="www.mca-materiaux.com"/>
    <hyperlink ref="K31" r:id="rId56" display="Voir"/>
    <hyperlink ref="I32" r:id="rId57" display="www.mdy-france.com"/>
    <hyperlink ref="K32" r:id="rId58" display="Voir"/>
    <hyperlink ref="I33" r:id="rId59" display="www.mpt-marbrier.fr"/>
    <hyperlink ref="K33" r:id="rId60" display="Voir"/>
    <hyperlink ref="K34" r:id="rId61" display="Voir"/>
    <hyperlink ref="I35" r:id="rId62" display="www.pmc-marbrerie.com"/>
    <hyperlink ref="K35" r:id="rId63" display="Voir"/>
    <hyperlink ref="K36" r:id="rId64" display="Voir"/>
    <hyperlink ref="I37" r:id="rId65" display="www.palatino.fr"/>
    <hyperlink ref="K37" r:id="rId66" display="Voir"/>
    <hyperlink ref="I38" r:id="rId67" display="www.parquet-carrelage.com"/>
    <hyperlink ref="K38" r:id="rId68" display="Voir"/>
    <hyperlink ref="I39" r:id="rId69" display="www.pierluxpierrenaturelle.fr"/>
    <hyperlink ref="K39" r:id="rId70" display="Voir"/>
    <hyperlink ref="I40" r:id="rId71" display="pierres-nat.com"/>
    <hyperlink ref="K40" r:id="rId72" display="Voir"/>
    <hyperlink ref="K41" r:id="rId73" display="Voir"/>
    <hyperlink ref="I42" r:id="rId74" display="raboni.fr"/>
    <hyperlink ref="K42" r:id="rId75" display="Voir"/>
    <hyperlink ref="I43" r:id="rId76" display="www.sauvaje.fr"/>
    <hyperlink ref="K43" r:id="rId77" display="Voir"/>
    <hyperlink ref="I44" r:id="rId78" display="negoce.france-materiaux.fr/369-societe-nouvelle-nmc"/>
    <hyperlink ref="K44" r:id="rId79" display="Voir"/>
    <hyperlink ref="K45" r:id="rId80" display="Voir"/>
    <hyperlink ref="I46" r:id="rId81" display="www.architea.fr/architea-pays-auge-cote-fleurie"/>
    <hyperlink ref="K46" r:id="rId82" display="Voir"/>
    <hyperlink ref="I47" r:id="rId83" display="www.arcytis.com"/>
    <hyperlink ref="K47" r:id="rId84" display="Voir"/>
    <hyperlink ref="I48" r:id="rId85" display="www.argilesdecoration.com"/>
    <hyperlink ref="K48" r:id="rId86" display="Voir"/>
    <hyperlink ref="I49" r:id="rId87" display="www.hemon-architectes.com"/>
    <hyperlink ref="K49" r:id="rId88" display="Voir"/>
    <hyperlink ref="I50" r:id="rId89" display="atelierdelapierremarbreetgranits.site-solocal.com"/>
    <hyperlink ref="K50" r:id="rId90" display="Voir"/>
    <hyperlink ref="I51" r:id="rId91" display="barbedettepaysage.fr"/>
    <hyperlink ref="K51" r:id="rId92" display="Voir"/>
    <hyperlink ref="K52" r:id="rId93" display="Voir"/>
    <hyperlink ref="I53" r:id="rId94" display="www.bienetreconfort.fr"/>
    <hyperlink ref="K53" r:id="rId95" display="Voir"/>
    <hyperlink ref="K54" r:id="rId96" display="Voir"/>
    <hyperlink ref="I55" r:id="rId97" display="www.bohinjardin.fr"/>
    <hyperlink ref="K55" r:id="rId98" display="Voir"/>
    <hyperlink ref="K56" r:id="rId99" display="Voir"/>
    <hyperlink ref="K57" r:id="rId100" display="Voir"/>
    <hyperlink ref="I58" r:id="rId101" display="www.conceptinterieurdeauville.com"/>
    <hyperlink ref="K58" r:id="rId102" display="Voir"/>
    <hyperlink ref="I59" r:id="rId103" display="www.piscines-delalande.fr"/>
    <hyperlink ref="K59" r:id="rId104" display="Voir"/>
    <hyperlink ref="K60" r:id="rId105" display="Voir"/>
    <hyperlink ref="K61" r:id="rId106" display="Voir"/>
    <hyperlink ref="I62" r:id="rId107" display="www.frazzi.fr"/>
    <hyperlink ref="K62" r:id="rId108" display="Voir"/>
    <hyperlink ref="K63" r:id="rId109" display="Voir"/>
    <hyperlink ref="K64" r:id="rId110" display="Voir"/>
    <hyperlink ref="I65" r:id="rId111" display="ginicarrelage.fr"/>
    <hyperlink ref="K65" r:id="rId112" display="Voir"/>
    <hyperlink ref="I66" r:id="rId113" display="www.paysagiste-auberville.fr"/>
    <hyperlink ref="K66" r:id="rId114" display="Voir"/>
    <hyperlink ref="K67" r:id="rId115" display="Voir"/>
    <hyperlink ref="I68" r:id="rId116" display="granits-materiaux.fr"/>
    <hyperlink ref="K68" r:id="rId117" display="Voir"/>
    <hyperlink ref="I69" r:id="rId118" display="www.honnetconstructions.fr"/>
    <hyperlink ref="K69" r:id="rId119" display="Voir"/>
    <hyperlink ref="I70" r:id="rId120" display="www.jardinpassions.fr"/>
    <hyperlink ref="K70" r:id="rId121" display="Voir"/>
    <hyperlink ref="I71" r:id="rId122" display="www.la-roche-taillee.fr"/>
    <hyperlink ref="K71" r:id="rId123" display="Voir"/>
    <hyperlink ref="I72" r:id="rId124" display="www.larcher.fr"/>
    <hyperlink ref="K72" r:id="rId125" display="Voir"/>
    <hyperlink ref="I73" r:id="rId126" display="www.lesdemeuresdeprovince.fr"/>
    <hyperlink ref="K73" r:id="rId127" display="Voir"/>
    <hyperlink ref="I74" r:id="rId128" display="www.lespiscinesmoreau.com"/>
    <hyperlink ref="K74" r:id="rId129" display="Voir"/>
    <hyperlink ref="K75" r:id="rId130" display="Voir"/>
    <hyperlink ref="I76" r:id="rId131" display="www.maillard.fr/magasins"/>
    <hyperlink ref="K76" r:id="rId132" display="Voir"/>
    <hyperlink ref="I77" r:id="rId133" display="www.maisonslucas.fr"/>
    <hyperlink ref="K77" r:id="rId134" display="Voir"/>
    <hyperlink ref="I78" r:id="rId135" display="www.marbresettendances.com"/>
    <hyperlink ref="K78" r:id="rId136" display="Voir"/>
    <hyperlink ref="K79" r:id="rId137" display="Voir"/>
    <hyperlink ref="K80" r:id="rId138" display="Voir"/>
    <hyperlink ref="I81" r:id="rId139" display="www.muretsol.fr"/>
    <hyperlink ref="K81" r:id="rId140" display="Voir"/>
    <hyperlink ref="I82" r:id="rId141" display="www.piolain-carrelage.fr"/>
    <hyperlink ref="K82" r:id="rId142" display="Voir"/>
    <hyperlink ref="I83" r:id="rId143" display="www.piscines-de-france.fr/piscinistes/pisciniste-le-havre"/>
    <hyperlink ref="K83" r:id="rId144" display="Voir"/>
    <hyperlink ref="I84" r:id="rId145" display="www.piscinesetabrisnordouest.fr"/>
    <hyperlink ref="K84" r:id="rId146" display="Voir"/>
    <hyperlink ref="I85" r:id="rId147" display="www.rpay.fr"/>
    <hyperlink ref="K85" r:id="rId148" display="Voir"/>
    <hyperlink ref="K86" r:id="rId149" display="Voir"/>
    <hyperlink ref="I87" r:id="rId150" display="www.dumouchel.fr"/>
    <hyperlink ref="K87" r:id="rId151" display="Voir"/>
    <hyperlink ref="I88" r:id="rId152" display="www.vma14.com"/>
    <hyperlink ref="K88" r:id="rId153" display="Voir"/>
    <hyperlink ref="I89" r:id="rId154" display="www.vincent-locquet.fr"/>
    <hyperlink ref="K89" r:id="rId155" display="Voir"/>
    <hyperlink ref="I90" r:id="rId156" display="www.volkaert-constructions.fr"/>
    <hyperlink ref="K90" r:id="rId157" display="Voir"/>
    <hyperlink ref="I91" r:id="rId158" display="yl-carrelage.fr"/>
    <hyperlink ref="K91" r:id="rId159" display="Voir"/>
    <hyperlink ref="I92" r:id="rId160" display="agavepaysage.fr"/>
    <hyperlink ref="K92" r:id="rId161" display="Voir"/>
    <hyperlink ref="K93" r:id="rId162" display="Voir"/>
    <hyperlink ref="K94" r:id="rId163" display="Voir"/>
    <hyperlink ref="I95" r:id="rId164" display="www.apisflorae.com"/>
    <hyperlink ref="K95" r:id="rId165" display="Voir"/>
    <hyperlink ref="I96" r:id="rId166" display="aquagarden78.fr"/>
    <hyperlink ref="K96" r:id="rId167" display="Voir"/>
    <hyperlink ref="I97" r:id="rId168" display="www.architea.fr/architea-vallee-de-la-seine-ouest"/>
    <hyperlink ref="K97" r:id="rId169" display="Voir"/>
    <hyperlink ref="I98" r:id="rId170" display="www.archivim.fr"/>
    <hyperlink ref="K98" r:id="rId171" display="Voir"/>
    <hyperlink ref="I99" r:id="rId172" display="www.artdesjardins-zory.fr"/>
    <hyperlink ref="K99" r:id="rId173" display="Voir"/>
    <hyperlink ref="I100" r:id="rId174" display="www.atelier-concept-paysage.com"/>
    <hyperlink ref="K100" r:id="rId175" display="Voir"/>
    <hyperlink ref="K101" r:id="rId176" display="Voir"/>
    <hyperlink ref="I102" r:id="rId177" display="www.baticentre.fr"/>
    <hyperlink ref="K102" r:id="rId178" display="Voir"/>
    <hyperlink ref="I103" r:id="rId179" display="www.blocstone.com"/>
    <hyperlink ref="K103" r:id="rId180" display="Voir"/>
    <hyperlink ref="I104" r:id="rId181" display="ci-renovation-78.fr"/>
    <hyperlink ref="K104" r:id="rId182" display="Voir"/>
    <hyperlink ref="I105" r:id="rId183" display="www.ceramica.fr"/>
    <hyperlink ref="K105" r:id="rId184" display="Voir"/>
    <hyperlink ref="K106" r:id="rId185" display="Voir"/>
    <hyperlink ref="I107" r:id="rId186" display="www.dps-france.fr"/>
    <hyperlink ref="K107" r:id="rId187" display="Voir"/>
    <hyperlink ref="K108" r:id="rId188" display="Voir"/>
    <hyperlink ref="K109" r:id="rId189" display="Voir"/>
    <hyperlink ref="I110" r:id="rId190" display="edenvatinel.fr"/>
    <hyperlink ref="K110" r:id="rId191" display="Voir"/>
    <hyperlink ref="I111" r:id="rId192" display="www.carrelage-marbre-iledefrance.fr"/>
    <hyperlink ref="K111" r:id="rId193" display="Voir"/>
    <hyperlink ref="I112" r:id="rId194" display="www.kenny-entreprise.fr"/>
    <hyperlink ref="K112" r:id="rId195" display="Voir"/>
    <hyperlink ref="K113" r:id="rId196" display="Voir"/>
    <hyperlink ref="I114" r:id="rId197" display="www.ftp-services.fr"/>
    <hyperlink ref="K114" r:id="rId198" display="Voir"/>
    <hyperlink ref="I115" r:id="rId199" display="www.fontainepaysage.fr"/>
    <hyperlink ref="K115" r:id="rId200" display="Voir"/>
    <hyperlink ref="I116" r:id="rId201" display="www.hotelsbarriere.com/fr/enghien-les-bains/le-grand-hotel.html"/>
    <hyperlink ref="K116" r:id="rId202" display="Voir"/>
    <hyperlink ref="I117" r:id="rId203" display="www.idoine-piscines.com"/>
    <hyperlink ref="K117" r:id="rId204" display="Voir"/>
    <hyperlink ref="I118" r:id="rId205" display="www.idealpiscine.com"/>
    <hyperlink ref="K118" r:id="rId206" display="Voir"/>
    <hyperlink ref="I119" r:id="rId207" display="www.jardins-et-ambiances.com"/>
    <hyperlink ref="K119" r:id="rId208" display="Voir"/>
    <hyperlink ref="K120" r:id="rId209" display="Voir"/>
    <hyperlink ref="I121" r:id="rId210" display="www.kristech.fr"/>
    <hyperlink ref="K121" r:id="rId211" display="Voir"/>
    <hyperlink ref="I122" r:id="rId212" display="l-esprit-au-vert-71b05.houzzsite.com"/>
    <hyperlink ref="K122" r:id="rId213" display="Voir"/>
    <hyperlink ref="I123" r:id="rId214" display="www.la-boutique-piscine-spa.fr"/>
    <hyperlink ref="K123" r:id="rId215" display="Voir"/>
    <hyperlink ref="I124" r:id="rId216" display="www.lesjardinsdechevreuse.fr"/>
    <hyperlink ref="K124" r:id="rId217" display="Voir"/>
    <hyperlink ref="I125" r:id="rId218" display="www.jardinsdejulien.com"/>
    <hyperlink ref="K125" r:id="rId219" display="Voir"/>
    <hyperlink ref="I126" r:id="rId220" display="www.jardinsdelavallee.fr"/>
    <hyperlink ref="K126" r:id="rId221" display="Voir"/>
    <hyperlink ref="K127" r:id="rId222" display="Voir"/>
    <hyperlink ref="I128" r:id="rId223" display="www.marbreriempg.paris"/>
    <hyperlink ref="K128" r:id="rId224" display="Voir"/>
    <hyperlink ref="I129" r:id="rId225" display="www.maison-laborde.fr"/>
    <hyperlink ref="K129" r:id="rId226" display="Voir"/>
    <hyperlink ref="I130" r:id="rId227" display="www.maisonsarchidesign.com"/>
    <hyperlink ref="K130" r:id="rId228" display="Voir"/>
    <hyperlink ref="K131" r:id="rId229" display="Voir"/>
    <hyperlink ref="K132" r:id="rId230" display="Voir"/>
    <hyperlink ref="I133" r:id="rId231" display="modernworks.fr"/>
    <hyperlink ref="K133" r:id="rId232" display="Voir"/>
    <hyperlink ref="I134" r:id="rId233" display="www.penseeaujardin.fr"/>
    <hyperlink ref="K134" r:id="rId234" display="Voir"/>
    <hyperlink ref="I135" r:id="rId235" display="www.piscines-spas-iledefrance.fr"/>
    <hyperlink ref="K135" r:id="rId236" display="Voir"/>
    <hyperlink ref="I136" r:id="rId237" display="planstone.fr"/>
    <hyperlink ref="K136" r:id="rId238" display="Voir"/>
    <hyperlink ref="I137" r:id="rId239" display="www.marbrerie.com"/>
    <hyperlink ref="K137" r:id="rId240" display="Voir"/>
    <hyperlink ref="K138" r:id="rId241" display="Voir"/>
    <hyperlink ref="I139" r:id="rId242" display="www.socorebat-95.fr"/>
    <hyperlink ref="K139" r:id="rId243" display="Voir"/>
    <hyperlink ref="K140" r:id="rId244" display="Voir"/>
    <hyperlink ref="I141" r:id="rId245" display="terrasseetjardindeparis.com"/>
    <hyperlink ref="K141" r:id="rId246" display="Voir"/>
    <hyperlink ref="I142" r:id="rId247" display="www.triomphe-home.fr"/>
    <hyperlink ref="K142" r:id="rId248" display="Voir"/>
    <hyperlink ref="K143" r:id="rId249" display="Voir"/>
    <hyperlink ref="K144" r:id="rId250" display="Voir"/>
    <hyperlink ref="I145" r:id="rId251" display="www.wildrenovation.fr"/>
    <hyperlink ref="K145" r:id="rId252" display="Voir"/>
    <hyperlink ref="I146" r:id="rId253" display="www.yvelinestradition.fr"/>
    <hyperlink ref="K146" r:id="rId254" display="Voir"/>
    <hyperlink ref="I147" r:id="rId255" display="mmnk.fr"/>
    <hyperlink ref="K147" r:id="rId256" display="Voir"/>
    <hyperlink ref="I148" r:id="rId257" display="www.act-mo.fr"/>
    <hyperlink ref="K148" r:id="rId258" display="Voir"/>
    <hyperlink ref="K149" r:id="rId259" display="Voir"/>
    <hyperlink ref="K150" r:id="rId260" display="Voir"/>
    <hyperlink ref="K151" r:id="rId261" display="Voir"/>
    <hyperlink ref="I152" r:id="rId262" display="www.ec3s.fr"/>
    <hyperlink ref="K152" r:id="rId263" display="Voir"/>
    <hyperlink ref="K153" r:id="rId264" display="Voir"/>
    <hyperlink ref="I154" r:id="rId265" display="www.gueudry.fr"/>
    <hyperlink ref="K154" r:id="rId266" display="Voir"/>
    <hyperlink ref="I155" r:id="rId267" display="laurencevermontdecoration.fr"/>
    <hyperlink ref="K155" r:id="rId268" display="Voir"/>
    <hyperlink ref="I156" r:id="rId269" display="masolution-habitat.fr"/>
    <hyperlink ref="K156" r:id="rId270" display="Voir"/>
    <hyperlink ref="K157" r:id="rId271" display="Voir"/>
    <hyperlink ref="I158" r:id="rId272" display="www.socoren.com"/>
    <hyperlink ref="K158" r:id="rId273" display="Voir"/>
    <hyperlink ref="K159" r:id="rId274" display="Voir"/>
    <hyperlink ref="K160" r:id="rId275" display="Voir"/>
    <hyperlink ref="I161" r:id="rId276" display="rouen.mondial-piscine.eu"/>
    <hyperlink ref="K161" r:id="rId277" display="Voir"/>
    <hyperlink ref="I162" r:id="rId278" display="abdecoration.fr"/>
    <hyperlink ref="K162" r:id="rId279" display="Voir"/>
    <hyperlink ref="K163" r:id="rId280" display="Voir"/>
    <hyperlink ref="I164" r:id="rId281" display="tribehotels.com/en/france/cabourg"/>
    <hyperlink ref="K164" r:id="rId282" display="Voir"/>
    <hyperlink ref="I165" r:id="rId283" display="terralia-immobilier.fr"/>
    <hyperlink ref="K165" r:id="rId284" display="Voir"/>
    <hyperlink ref="K166" r:id="rId285" display="Voir"/>
    <hyperlink ref="I167" r:id="rId286" display="ynspir.com"/>
    <hyperlink ref="K167" r:id="rId287" display="Voir"/>
    <hyperlink ref="I168" r:id="rId288" display="www.eric-devaux.fr"/>
    <hyperlink ref="K168" r:id="rId289" display="Voir"/>
    <hyperlink ref="K169" r:id="rId290" display="Voir"/>
    <hyperlink ref="I170" r:id="rId291" display="www.antunesjardinage.fr"/>
    <hyperlink ref="K170" r:id="rId292" display="Voir"/>
    <hyperlink ref="I171" r:id="rId293" display="www.aqua-system.fr"/>
    <hyperlink ref="K171" r:id="rId294" display="Voir"/>
    <hyperlink ref="K172" r:id="rId295" display="Voir"/>
    <hyperlink ref="I173" r:id="rId296" display="www.atelierceben.com"/>
    <hyperlink ref="K173" r:id="rId297" display="Voir"/>
    <hyperlink ref="K174" r:id="rId298" display="Voir"/>
    <hyperlink ref="I175" r:id="rId299" display="balcoon.fr"/>
    <hyperlink ref="K175" r:id="rId300" display="Voir"/>
    <hyperlink ref="I176" r:id="rId301" display="www.belmard-batiment.fr"/>
    <hyperlink ref="K176" r:id="rId302" display="Voir"/>
    <hyperlink ref="I177" r:id="rId303" display="www.benebatti.fr"/>
    <hyperlink ref="K177" r:id="rId304" display="Voir"/>
    <hyperlink ref="K178" r:id="rId305" display="Voir"/>
    <hyperlink ref="I179" r:id="rId306" display="duhamel-paysagiste.fr"/>
    <hyperlink ref="K179" r:id="rId307" display="Voir"/>
    <hyperlink ref="I180" r:id="rId308" display="www.francemaisons-idf.com"/>
    <hyperlink ref="K180" r:id="rId309" display="Voir"/>
    <hyperlink ref="I181" r:id="rId310" display="www.franpierre-herblay.fr"/>
    <hyperlink ref="K181" r:id="rId311" display="Voir"/>
    <hyperlink ref="I182" r:id="rId312" display="www.henocquepiscines.fr"/>
    <hyperlink ref="K182" r:id="rId313" display="Voir"/>
    <hyperlink ref="I183" r:id="rId314" display="www.jardinsdelorangerie.com/jardins-orangerie-montmorency"/>
    <hyperlink ref="K183" r:id="rId315" display="Voir"/>
    <hyperlink ref="K184" r:id="rId316" display="Voir"/>
    <hyperlink ref="I185" r:id="rId317" display="www.mersi-architecture.com"/>
    <hyperlink ref="K185" r:id="rId318" display="Voir"/>
    <hyperlink ref="I186" r:id="rId319" display="www.serge-gautier.com"/>
    <hyperlink ref="K186" r:id="rId320" display="Voir"/>
    <hyperlink ref="I187" r:id="rId321" display="www.marbreriedevitry.fr"/>
    <hyperlink ref="K187" r:id="rId322" display="Voir"/>
    <hyperlink ref="I188" r:id="rId323" display="www.naturo-paysages.fr"/>
    <hyperlink ref="K188" r:id="rId324" display="Voir"/>
    <hyperlink ref="I189" r:id="rId325" display="www.oceapiscine.fr"/>
    <hyperlink ref="K189" r:id="rId326" display="Voir"/>
    <hyperlink ref="K190" r:id="rId327" display="Voir"/>
    <hyperlink ref="I191" r:id="rId328" display="www.ops-ouestpiscines.fr"/>
    <hyperlink ref="K191" r:id="rId329" display="Voir"/>
    <hyperlink ref="I192" r:id="rId330" display="www.paysagiste-pro-vert.fr"/>
    <hyperlink ref="K192" r:id="rId331" display="Voir"/>
    <hyperlink ref="I193" r:id="rId332" display="real-marbre.com"/>
    <hyperlink ref="K193" r:id="rId333" display="Voir"/>
    <hyperlink ref="K194" r:id="rId334" display="Voir"/>
    <hyperlink ref="K195" r:id="rId335" display="Voir"/>
    <hyperlink ref="I196" r:id="rId336" display="www.simonsonlandscape.com"/>
    <hyperlink ref="K196" r:id="rId337" display="Voir"/>
    <hyperlink ref="K197" r:id="rId338" display="Voir"/>
    <hyperlink ref="I198" r:id="rId339" display="www.terrassesdesoliviers.com"/>
    <hyperlink ref="K198" r:id="rId340" display="Voir"/>
    <hyperlink ref="K199" r:id="rId341" display="Voir"/>
    <hyperlink ref="K200" r:id="rId342" display="Voir"/>
    <hyperlink ref="K201" r:id="rId343" display="Voir"/>
    <hyperlink ref="K202" r:id="rId344" display="Voir"/>
    <hyperlink ref="K203" r:id="rId345" display="Voir"/>
    <hyperlink ref="K204" r:id="rId346" display="Voir"/>
    <hyperlink ref="K205" r:id="rId347" display="Voir"/>
    <hyperlink ref="K206" r:id="rId348" display="Voir"/>
    <hyperlink ref="K207" r:id="rId349" display="Voir"/>
    <hyperlink ref="K208" r:id="rId350" display="Voir"/>
    <hyperlink ref="K209" r:id="rId351" display="Voir"/>
    <hyperlink ref="K210" r:id="rId352" display="Voir"/>
    <hyperlink ref="K211" r:id="rId353" display="Voir"/>
    <hyperlink ref="K212" r:id="rId354" display="Voir"/>
    <hyperlink ref="K213" r:id="rId355" display="Voir"/>
    <hyperlink ref="K214" r:id="rId356" display="Voir"/>
    <hyperlink ref="K215" r:id="rId357" display="Voir"/>
    <hyperlink ref="K216" r:id="rId358" display="Voir"/>
    <hyperlink ref="K217" r:id="rId359" display="Voir"/>
    <hyperlink ref="K218" r:id="rId360" display="Voir"/>
    <hyperlink ref="K219" r:id="rId361" display="Voir"/>
    <hyperlink ref="K220" r:id="rId362" display="Voir"/>
    <hyperlink ref="K221" r:id="rId363" display="Voir"/>
    <hyperlink ref="K222" r:id="rId364" display="Voir"/>
    <hyperlink ref="K223" r:id="rId365" display="Voir"/>
    <hyperlink ref="K224" r:id="rId366" display="Voir"/>
    <hyperlink ref="K225" r:id="rId367" display="Voir"/>
    <hyperlink ref="K226" r:id="rId368" display="Voir"/>
    <hyperlink ref="K227" r:id="rId369" display="Voir"/>
    <hyperlink ref="K228" r:id="rId370" display="Voir"/>
    <hyperlink ref="K229" r:id="rId371" display="Voir"/>
    <hyperlink ref="K230" r:id="rId372" display="Voir"/>
    <hyperlink ref="K231" r:id="rId373" display="Voir"/>
    <hyperlink ref="K232" r:id="rId374" display="Voir"/>
    <hyperlink ref="K233" r:id="rId375" display="Voir"/>
    <hyperlink ref="K234" r:id="rId376" display="Voir"/>
    <hyperlink ref="K235" r:id="rId377" display="Voir"/>
    <hyperlink ref="K236" r:id="rId378" display="Voir"/>
    <hyperlink ref="K237" r:id="rId379" display="Voir"/>
    <hyperlink ref="K238" r:id="rId380" display="Voir"/>
    <hyperlink ref="K239" r:id="rId381" display="Voir"/>
    <hyperlink ref="K240" r:id="rId382" display="Voir"/>
    <hyperlink ref="K241" r:id="rId383" display="Voir"/>
    <hyperlink ref="K242" r:id="rId384" display="Voir"/>
    <hyperlink ref="K243" r:id="rId385" display="Voir"/>
    <hyperlink ref="K244" r:id="rId386" display="Voir"/>
    <hyperlink ref="K245" r:id="rId387" display="Voir"/>
    <hyperlink ref="K246" r:id="rId388" display="Voir"/>
    <hyperlink ref="K247" r:id="rId389" display="Voir"/>
    <hyperlink ref="K248" r:id="rId390" display="Voir"/>
    <hyperlink ref="K249" r:id="rId391" display="Voir"/>
    <hyperlink ref="K250" r:id="rId392"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9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22"/>
    <col collapsed="false" customWidth="true" hidden="false" outlineLevel="0" max="5" min="5" style="0" width="50"/>
    <col collapsed="false" customWidth="true" hidden="false" outlineLevel="0" max="8" min="6" style="0" width="22"/>
  </cols>
  <sheetData>
    <row r="1" customFormat="false" ht="15" hidden="false" customHeight="false" outlineLevel="0" collapsed="false">
      <c r="A1" s="7" t="s">
        <v>29</v>
      </c>
      <c r="B1" s="7" t="s">
        <v>74</v>
      </c>
      <c r="C1" s="7" t="s">
        <v>1129</v>
      </c>
      <c r="D1" s="7" t="s">
        <v>1130</v>
      </c>
      <c r="E1" s="7" t="s">
        <v>1131</v>
      </c>
      <c r="F1" s="7" t="s">
        <v>1132</v>
      </c>
      <c r="G1" s="7" t="s">
        <v>1133</v>
      </c>
      <c r="H1" s="7" t="s">
        <v>1134</v>
      </c>
    </row>
    <row r="2" customFormat="false" ht="68.65" hidden="false" customHeight="false" outlineLevel="0" collapsed="false">
      <c r="A2" s="5" t="s">
        <v>1135</v>
      </c>
      <c r="B2" s="5" t="s">
        <v>1136</v>
      </c>
      <c r="C2" s="5" t="s">
        <v>1137</v>
      </c>
      <c r="D2" s="5" t="s">
        <v>1138</v>
      </c>
      <c r="E2" s="5" t="s">
        <v>1139</v>
      </c>
      <c r="F2" s="5" t="s">
        <v>1140</v>
      </c>
      <c r="G2" s="8" t="s">
        <v>1141</v>
      </c>
      <c r="H2" s="5"/>
    </row>
    <row r="3" customFormat="false" ht="68.65" hidden="false" customHeight="false" outlineLevel="0" collapsed="false">
      <c r="A3" s="5" t="s">
        <v>1142</v>
      </c>
      <c r="B3" s="5" t="s">
        <v>1143</v>
      </c>
      <c r="C3" s="5" t="s">
        <v>1144</v>
      </c>
      <c r="D3" s="5" t="s">
        <v>1145</v>
      </c>
      <c r="E3" s="5" t="s">
        <v>1146</v>
      </c>
      <c r="F3" s="5" t="s">
        <v>1147</v>
      </c>
      <c r="G3" s="8" t="s">
        <v>1141</v>
      </c>
      <c r="H3" s="5"/>
    </row>
    <row r="4" customFormat="false" ht="55.2" hidden="false" customHeight="false" outlineLevel="0" collapsed="false">
      <c r="A4" s="5" t="s">
        <v>1148</v>
      </c>
      <c r="B4" s="5" t="s">
        <v>1143</v>
      </c>
      <c r="C4" s="5" t="s">
        <v>1149</v>
      </c>
      <c r="D4" s="5" t="s">
        <v>1150</v>
      </c>
      <c r="E4" s="5" t="s">
        <v>1151</v>
      </c>
      <c r="F4" s="5" t="s">
        <v>1152</v>
      </c>
      <c r="G4" s="8" t="s">
        <v>1141</v>
      </c>
      <c r="H4" s="5"/>
    </row>
    <row r="5" customFormat="false" ht="41.75" hidden="false" customHeight="false" outlineLevel="0" collapsed="false">
      <c r="A5" s="5" t="s">
        <v>1153</v>
      </c>
      <c r="B5" s="5" t="s">
        <v>1143</v>
      </c>
      <c r="C5" s="5" t="s">
        <v>1154</v>
      </c>
      <c r="D5" s="5" t="s">
        <v>989</v>
      </c>
      <c r="E5" s="5" t="s">
        <v>1155</v>
      </c>
      <c r="F5" s="5" t="s">
        <v>1156</v>
      </c>
      <c r="G5" s="8" t="s">
        <v>1141</v>
      </c>
      <c r="H5" s="5"/>
    </row>
    <row r="6" customFormat="false" ht="55.2" hidden="false" customHeight="false" outlineLevel="0" collapsed="false">
      <c r="A6" s="5" t="s">
        <v>1157</v>
      </c>
      <c r="B6" s="5" t="s">
        <v>1136</v>
      </c>
      <c r="C6" s="5" t="s">
        <v>1158</v>
      </c>
      <c r="D6" s="5" t="s">
        <v>1159</v>
      </c>
      <c r="E6" s="5" t="s">
        <v>1160</v>
      </c>
      <c r="F6" s="5" t="s">
        <v>1161</v>
      </c>
      <c r="G6" s="8" t="s">
        <v>1141</v>
      </c>
      <c r="H6" s="5"/>
    </row>
    <row r="7" customFormat="false" ht="55.2" hidden="false" customHeight="false" outlineLevel="0" collapsed="false">
      <c r="A7" s="5" t="s">
        <v>1162</v>
      </c>
      <c r="B7" s="5" t="s">
        <v>1163</v>
      </c>
      <c r="C7" s="5" t="s">
        <v>1164</v>
      </c>
      <c r="D7" s="5" t="s">
        <v>1165</v>
      </c>
      <c r="E7" s="5" t="s">
        <v>1166</v>
      </c>
      <c r="F7" s="5" t="s">
        <v>1167</v>
      </c>
      <c r="G7" s="8" t="s">
        <v>1141</v>
      </c>
      <c r="H7" s="5"/>
    </row>
    <row r="8" customFormat="false" ht="95.5" hidden="false" customHeight="false" outlineLevel="0" collapsed="false">
      <c r="A8" s="5" t="s">
        <v>1168</v>
      </c>
      <c r="B8" s="5" t="s">
        <v>1163</v>
      </c>
      <c r="C8" s="5" t="s">
        <v>1169</v>
      </c>
      <c r="D8" s="5" t="s">
        <v>1170</v>
      </c>
      <c r="E8" s="5" t="s">
        <v>1171</v>
      </c>
      <c r="F8" s="5" t="s">
        <v>1147</v>
      </c>
      <c r="G8" s="5"/>
      <c r="H8" s="5"/>
    </row>
    <row r="9" customFormat="false" ht="68.65" hidden="false" customHeight="false" outlineLevel="0" collapsed="false">
      <c r="A9" s="5" t="s">
        <v>1172</v>
      </c>
      <c r="B9" s="5" t="s">
        <v>1173</v>
      </c>
      <c r="C9" s="5" t="s">
        <v>1174</v>
      </c>
      <c r="D9" s="5" t="s">
        <v>1175</v>
      </c>
      <c r="E9" s="5" t="s">
        <v>1176</v>
      </c>
      <c r="F9" s="5" t="s">
        <v>1147</v>
      </c>
      <c r="G9" s="8" t="s">
        <v>1141</v>
      </c>
      <c r="H9" s="5"/>
    </row>
    <row r="10" customFormat="false" ht="55.2" hidden="false" customHeight="false" outlineLevel="0" collapsed="false">
      <c r="A10" s="5" t="s">
        <v>1177</v>
      </c>
      <c r="B10" s="5" t="s">
        <v>1173</v>
      </c>
      <c r="C10" s="5" t="s">
        <v>1174</v>
      </c>
      <c r="D10" s="5" t="s">
        <v>1175</v>
      </c>
      <c r="E10" s="5" t="s">
        <v>1178</v>
      </c>
      <c r="F10" s="5" t="s">
        <v>1147</v>
      </c>
      <c r="G10" s="8" t="s">
        <v>1141</v>
      </c>
      <c r="H10" s="5"/>
    </row>
    <row r="11" customFormat="false" ht="41.75" hidden="false" customHeight="false" outlineLevel="0" collapsed="false">
      <c r="A11" s="5" t="s">
        <v>1179</v>
      </c>
      <c r="B11" s="5" t="s">
        <v>1173</v>
      </c>
      <c r="C11" s="5" t="s">
        <v>1174</v>
      </c>
      <c r="D11" s="5" t="s">
        <v>1175</v>
      </c>
      <c r="E11" s="5" t="s">
        <v>1180</v>
      </c>
      <c r="F11" s="5" t="s">
        <v>1147</v>
      </c>
      <c r="G11" s="8" t="s">
        <v>1141</v>
      </c>
      <c r="H11" s="5"/>
    </row>
    <row r="12" customFormat="false" ht="41.75" hidden="false" customHeight="false" outlineLevel="0" collapsed="false">
      <c r="A12" s="5" t="s">
        <v>1181</v>
      </c>
      <c r="B12" s="5" t="s">
        <v>1173</v>
      </c>
      <c r="C12" s="5" t="s">
        <v>1174</v>
      </c>
      <c r="D12" s="5" t="s">
        <v>1175</v>
      </c>
      <c r="E12" s="5" t="s">
        <v>1182</v>
      </c>
      <c r="F12" s="5" t="s">
        <v>1147</v>
      </c>
      <c r="G12" s="8" t="s">
        <v>1141</v>
      </c>
      <c r="H12" s="5"/>
    </row>
    <row r="13" customFormat="false" ht="41.75" hidden="false" customHeight="false" outlineLevel="0" collapsed="false">
      <c r="A13" s="5" t="s">
        <v>1183</v>
      </c>
      <c r="B13" s="5" t="s">
        <v>1173</v>
      </c>
      <c r="C13" s="5" t="s">
        <v>1184</v>
      </c>
      <c r="D13" s="5" t="s">
        <v>1175</v>
      </c>
      <c r="E13" s="5" t="s">
        <v>1185</v>
      </c>
      <c r="F13" s="5" t="s">
        <v>1147</v>
      </c>
      <c r="G13" s="8" t="s">
        <v>1141</v>
      </c>
      <c r="H13" s="5"/>
    </row>
    <row r="14" customFormat="false" ht="41.75" hidden="false" customHeight="false" outlineLevel="0" collapsed="false">
      <c r="A14" s="5" t="s">
        <v>1186</v>
      </c>
      <c r="B14" s="5" t="s">
        <v>1173</v>
      </c>
      <c r="C14" s="5" t="s">
        <v>1187</v>
      </c>
      <c r="D14" s="5" t="s">
        <v>1175</v>
      </c>
      <c r="E14" s="5" t="s">
        <v>1188</v>
      </c>
      <c r="F14" s="5" t="s">
        <v>1147</v>
      </c>
      <c r="G14" s="8" t="s">
        <v>1141</v>
      </c>
      <c r="H14" s="5"/>
    </row>
    <row r="15" customFormat="false" ht="28.35" hidden="false" customHeight="false" outlineLevel="0" collapsed="false">
      <c r="A15" s="5" t="s">
        <v>1189</v>
      </c>
      <c r="B15" s="5" t="s">
        <v>1173</v>
      </c>
      <c r="C15" s="5" t="s">
        <v>1190</v>
      </c>
      <c r="D15" s="5" t="s">
        <v>1175</v>
      </c>
      <c r="E15" s="5" t="s">
        <v>1191</v>
      </c>
      <c r="F15" s="5" t="s">
        <v>1147</v>
      </c>
      <c r="G15" s="8" t="s">
        <v>1141</v>
      </c>
      <c r="H15" s="5"/>
    </row>
    <row r="16" customFormat="false" ht="41.75" hidden="false" customHeight="false" outlineLevel="0" collapsed="false">
      <c r="A16" s="5" t="s">
        <v>1192</v>
      </c>
      <c r="B16" s="5" t="s">
        <v>1193</v>
      </c>
      <c r="C16" s="5" t="s">
        <v>1194</v>
      </c>
      <c r="D16" s="5" t="s">
        <v>1175</v>
      </c>
      <c r="E16" s="5" t="s">
        <v>1195</v>
      </c>
      <c r="F16" s="5" t="s">
        <v>1147</v>
      </c>
      <c r="G16" s="8" t="s">
        <v>1141</v>
      </c>
      <c r="H16" s="5"/>
    </row>
    <row r="17" customFormat="false" ht="55.2" hidden="false" customHeight="false" outlineLevel="0" collapsed="false">
      <c r="A17" s="5" t="s">
        <v>1196</v>
      </c>
      <c r="B17" s="5" t="s">
        <v>1197</v>
      </c>
      <c r="C17" s="5" t="s">
        <v>1198</v>
      </c>
      <c r="D17" s="5" t="s">
        <v>1199</v>
      </c>
      <c r="E17" s="5" t="s">
        <v>1200</v>
      </c>
      <c r="F17" s="5" t="s">
        <v>1201</v>
      </c>
      <c r="G17" s="8" t="s">
        <v>1141</v>
      </c>
      <c r="H17" s="5"/>
    </row>
    <row r="18" customFormat="false" ht="55.2" hidden="false" customHeight="false" outlineLevel="0" collapsed="false">
      <c r="A18" s="5" t="s">
        <v>1202</v>
      </c>
      <c r="B18" s="5" t="s">
        <v>1197</v>
      </c>
      <c r="C18" s="5" t="s">
        <v>1203</v>
      </c>
      <c r="D18" s="5" t="s">
        <v>1204</v>
      </c>
      <c r="E18" s="5" t="s">
        <v>1205</v>
      </c>
      <c r="F18" s="5" t="s">
        <v>1201</v>
      </c>
      <c r="G18" s="8" t="s">
        <v>1141</v>
      </c>
      <c r="H18" s="5"/>
    </row>
    <row r="19" customFormat="false" ht="55.2" hidden="false" customHeight="false" outlineLevel="0" collapsed="false">
      <c r="A19" s="5" t="s">
        <v>1206</v>
      </c>
      <c r="B19" s="5" t="s">
        <v>1197</v>
      </c>
      <c r="C19" s="5" t="s">
        <v>1207</v>
      </c>
      <c r="D19" s="5" t="s">
        <v>1208</v>
      </c>
      <c r="E19" s="5" t="s">
        <v>1209</v>
      </c>
      <c r="F19" s="5" t="s">
        <v>1201</v>
      </c>
      <c r="G19" s="8" t="s">
        <v>1141</v>
      </c>
      <c r="H19" s="5"/>
    </row>
    <row r="20" customFormat="false" ht="41.75" hidden="false" customHeight="false" outlineLevel="0" collapsed="false">
      <c r="A20" s="5" t="s">
        <v>1210</v>
      </c>
      <c r="B20" s="5" t="s">
        <v>1211</v>
      </c>
      <c r="C20" s="5" t="s">
        <v>1212</v>
      </c>
      <c r="D20" s="5" t="s">
        <v>1213</v>
      </c>
      <c r="E20" s="5" t="s">
        <v>1214</v>
      </c>
      <c r="F20" s="5" t="s">
        <v>1201</v>
      </c>
      <c r="G20" s="8" t="s">
        <v>1141</v>
      </c>
      <c r="H20" s="5"/>
    </row>
    <row r="21" customFormat="false" ht="55.2" hidden="false" customHeight="false" outlineLevel="0" collapsed="false">
      <c r="A21" s="5" t="s">
        <v>1215</v>
      </c>
      <c r="B21" s="5" t="s">
        <v>1216</v>
      </c>
      <c r="C21" s="5" t="s">
        <v>1217</v>
      </c>
      <c r="D21" s="5" t="s">
        <v>1218</v>
      </c>
      <c r="E21" s="5" t="s">
        <v>1219</v>
      </c>
      <c r="F21" s="5" t="s">
        <v>1220</v>
      </c>
      <c r="G21" s="8" t="s">
        <v>1141</v>
      </c>
      <c r="H21" s="5"/>
    </row>
    <row r="22" customFormat="false" ht="55.2" hidden="false" customHeight="false" outlineLevel="0" collapsed="false">
      <c r="A22" s="5" t="s">
        <v>1221</v>
      </c>
      <c r="B22" s="5" t="s">
        <v>1216</v>
      </c>
      <c r="C22" s="5" t="s">
        <v>1222</v>
      </c>
      <c r="D22" s="5" t="s">
        <v>1223</v>
      </c>
      <c r="E22" s="5" t="s">
        <v>1224</v>
      </c>
      <c r="F22" s="5" t="s">
        <v>1225</v>
      </c>
      <c r="G22" s="8" t="s">
        <v>1141</v>
      </c>
      <c r="H22" s="5"/>
    </row>
    <row r="23" customFormat="false" ht="28.35" hidden="false" customHeight="false" outlineLevel="0" collapsed="false">
      <c r="A23" s="5" t="s">
        <v>1226</v>
      </c>
      <c r="B23" s="5" t="s">
        <v>1216</v>
      </c>
      <c r="C23" s="5" t="s">
        <v>1227</v>
      </c>
      <c r="D23" s="5" t="s">
        <v>1228</v>
      </c>
      <c r="E23" s="5" t="s">
        <v>1229</v>
      </c>
      <c r="F23" s="5" t="s">
        <v>1201</v>
      </c>
      <c r="G23" s="8" t="s">
        <v>1141</v>
      </c>
      <c r="H23" s="5"/>
    </row>
    <row r="24" customFormat="false" ht="41.75" hidden="false" customHeight="false" outlineLevel="0" collapsed="false">
      <c r="A24" s="5" t="s">
        <v>1230</v>
      </c>
      <c r="B24" s="5" t="s">
        <v>1216</v>
      </c>
      <c r="C24" s="5" t="s">
        <v>1231</v>
      </c>
      <c r="D24" s="5" t="s">
        <v>989</v>
      </c>
      <c r="E24" s="5" t="s">
        <v>1232</v>
      </c>
      <c r="F24" s="5" t="s">
        <v>1233</v>
      </c>
      <c r="G24" s="8" t="s">
        <v>1141</v>
      </c>
      <c r="H24" s="5"/>
    </row>
    <row r="25" customFormat="false" ht="41.75" hidden="false" customHeight="false" outlineLevel="0" collapsed="false">
      <c r="A25" s="5" t="s">
        <v>1234</v>
      </c>
      <c r="B25" s="5" t="s">
        <v>1216</v>
      </c>
      <c r="C25" s="5" t="s">
        <v>1235</v>
      </c>
      <c r="D25" s="5" t="s">
        <v>1236</v>
      </c>
      <c r="E25" s="5" t="s">
        <v>1237</v>
      </c>
      <c r="F25" s="5" t="s">
        <v>1238</v>
      </c>
      <c r="G25" s="8" t="s">
        <v>1141</v>
      </c>
      <c r="H25" s="5"/>
    </row>
    <row r="26" customFormat="false" ht="55.2" hidden="false" customHeight="false" outlineLevel="0" collapsed="false">
      <c r="A26" s="5" t="s">
        <v>1239</v>
      </c>
      <c r="B26" s="5" t="s">
        <v>1240</v>
      </c>
      <c r="C26" s="5" t="s">
        <v>1241</v>
      </c>
      <c r="D26" s="5" t="s">
        <v>1242</v>
      </c>
      <c r="E26" s="5" t="s">
        <v>1243</v>
      </c>
      <c r="F26" s="5" t="s">
        <v>1201</v>
      </c>
      <c r="G26" s="8" t="s">
        <v>1141</v>
      </c>
      <c r="H26" s="5"/>
    </row>
    <row r="27" customFormat="false" ht="68.65" hidden="false" customHeight="false" outlineLevel="0" collapsed="false">
      <c r="A27" s="5" t="s">
        <v>1244</v>
      </c>
      <c r="B27" s="5" t="s">
        <v>1211</v>
      </c>
      <c r="C27" s="5" t="s">
        <v>1245</v>
      </c>
      <c r="D27" s="5" t="s">
        <v>1246</v>
      </c>
      <c r="E27" s="5" t="s">
        <v>1247</v>
      </c>
      <c r="F27" s="5" t="s">
        <v>1248</v>
      </c>
      <c r="G27" s="8" t="s">
        <v>1141</v>
      </c>
      <c r="H27" s="5"/>
    </row>
    <row r="28" customFormat="false" ht="55.2" hidden="false" customHeight="false" outlineLevel="0" collapsed="false">
      <c r="A28" s="5" t="s">
        <v>1249</v>
      </c>
      <c r="B28" s="5" t="s">
        <v>1211</v>
      </c>
      <c r="C28" s="5" t="s">
        <v>1250</v>
      </c>
      <c r="D28" s="5" t="s">
        <v>1251</v>
      </c>
      <c r="E28" s="5" t="s">
        <v>1252</v>
      </c>
      <c r="F28" s="5" t="s">
        <v>1253</v>
      </c>
      <c r="G28" s="8" t="s">
        <v>1141</v>
      </c>
      <c r="H28" s="5"/>
    </row>
    <row r="29" customFormat="false" ht="55.2" hidden="false" customHeight="false" outlineLevel="0" collapsed="false">
      <c r="A29" s="5" t="s">
        <v>1254</v>
      </c>
      <c r="B29" s="5" t="s">
        <v>1211</v>
      </c>
      <c r="C29" s="5" t="s">
        <v>1255</v>
      </c>
      <c r="D29" s="5" t="s">
        <v>1256</v>
      </c>
      <c r="E29" s="5" t="s">
        <v>1257</v>
      </c>
      <c r="F29" s="5" t="s">
        <v>1253</v>
      </c>
      <c r="G29" s="8" t="s">
        <v>1141</v>
      </c>
      <c r="H29" s="5"/>
    </row>
    <row r="30" customFormat="false" ht="41.75" hidden="false" customHeight="false" outlineLevel="0" collapsed="false">
      <c r="A30" s="5" t="s">
        <v>1258</v>
      </c>
      <c r="B30" s="5" t="s">
        <v>1211</v>
      </c>
      <c r="C30" s="5" t="s">
        <v>1259</v>
      </c>
      <c r="D30" s="5" t="s">
        <v>1260</v>
      </c>
      <c r="E30" s="5" t="s">
        <v>1261</v>
      </c>
      <c r="F30" s="5" t="s">
        <v>1262</v>
      </c>
      <c r="G30" s="8" t="s">
        <v>1141</v>
      </c>
      <c r="H30" s="5"/>
    </row>
    <row r="31" customFormat="false" ht="55.2" hidden="false" customHeight="false" outlineLevel="0" collapsed="false">
      <c r="A31" s="5" t="s">
        <v>1263</v>
      </c>
      <c r="B31" s="5" t="s">
        <v>1211</v>
      </c>
      <c r="C31" s="5" t="s">
        <v>1264</v>
      </c>
      <c r="D31" s="5" t="s">
        <v>1265</v>
      </c>
      <c r="E31" s="5" t="s">
        <v>1266</v>
      </c>
      <c r="F31" s="5" t="s">
        <v>1267</v>
      </c>
      <c r="G31" s="8" t="s">
        <v>1141</v>
      </c>
      <c r="H31" s="5"/>
    </row>
    <row r="32" customFormat="false" ht="55.2" hidden="false" customHeight="false" outlineLevel="0" collapsed="false">
      <c r="A32" s="5" t="s">
        <v>1268</v>
      </c>
      <c r="B32" s="5" t="s">
        <v>1143</v>
      </c>
      <c r="C32" s="5" t="s">
        <v>1269</v>
      </c>
      <c r="D32" s="5" t="s">
        <v>1270</v>
      </c>
      <c r="E32" s="5" t="s">
        <v>1271</v>
      </c>
      <c r="F32" s="5" t="s">
        <v>1272</v>
      </c>
      <c r="G32" s="8" t="s">
        <v>1141</v>
      </c>
      <c r="H32" s="5"/>
    </row>
    <row r="33" customFormat="false" ht="55.2" hidden="false" customHeight="false" outlineLevel="0" collapsed="false">
      <c r="A33" s="5" t="s">
        <v>1273</v>
      </c>
      <c r="B33" s="5" t="s">
        <v>1143</v>
      </c>
      <c r="C33" s="5" t="s">
        <v>1274</v>
      </c>
      <c r="D33" s="5" t="s">
        <v>1275</v>
      </c>
      <c r="E33" s="5" t="s">
        <v>1276</v>
      </c>
      <c r="F33" s="5" t="s">
        <v>1201</v>
      </c>
      <c r="G33" s="8" t="s">
        <v>1141</v>
      </c>
      <c r="H33" s="5"/>
    </row>
    <row r="34" customFormat="false" ht="41.75" hidden="false" customHeight="false" outlineLevel="0" collapsed="false">
      <c r="A34" s="5" t="s">
        <v>1277</v>
      </c>
      <c r="B34" s="5" t="s">
        <v>1143</v>
      </c>
      <c r="C34" s="5" t="s">
        <v>1278</v>
      </c>
      <c r="D34" s="5" t="s">
        <v>1279</v>
      </c>
      <c r="E34" s="5" t="s">
        <v>1280</v>
      </c>
      <c r="F34" s="5" t="s">
        <v>1281</v>
      </c>
      <c r="G34" s="8" t="s">
        <v>1141</v>
      </c>
      <c r="H34" s="5"/>
    </row>
    <row r="35" customFormat="false" ht="68.65" hidden="false" customHeight="false" outlineLevel="0" collapsed="false">
      <c r="A35" s="5" t="s">
        <v>1282</v>
      </c>
      <c r="B35" s="5" t="s">
        <v>1240</v>
      </c>
      <c r="C35" s="5" t="s">
        <v>1283</v>
      </c>
      <c r="D35" s="5" t="s">
        <v>1284</v>
      </c>
      <c r="E35" s="5" t="s">
        <v>1285</v>
      </c>
      <c r="F35" s="5" t="s">
        <v>1286</v>
      </c>
      <c r="G35" s="8" t="s">
        <v>1141</v>
      </c>
      <c r="H35" s="5"/>
    </row>
    <row r="36" customFormat="false" ht="41.75" hidden="false" customHeight="false" outlineLevel="0" collapsed="false">
      <c r="A36" s="5" t="s">
        <v>1287</v>
      </c>
      <c r="B36" s="5" t="s">
        <v>1136</v>
      </c>
      <c r="C36" s="5" t="s">
        <v>1288</v>
      </c>
      <c r="D36" s="5" t="s">
        <v>90</v>
      </c>
      <c r="E36" s="5" t="s">
        <v>1289</v>
      </c>
      <c r="F36" s="5" t="s">
        <v>1201</v>
      </c>
      <c r="G36" s="8" t="s">
        <v>1141</v>
      </c>
      <c r="H36" s="5"/>
    </row>
    <row r="37" customFormat="false" ht="41.75" hidden="false" customHeight="false" outlineLevel="0" collapsed="false">
      <c r="A37" s="5" t="s">
        <v>1290</v>
      </c>
      <c r="B37" s="5" t="s">
        <v>1216</v>
      </c>
      <c r="C37" s="5" t="s">
        <v>1291</v>
      </c>
      <c r="D37" s="5" t="s">
        <v>90</v>
      </c>
      <c r="E37" s="5" t="s">
        <v>1292</v>
      </c>
      <c r="F37" s="5" t="s">
        <v>1293</v>
      </c>
      <c r="G37" s="8" t="s">
        <v>1141</v>
      </c>
      <c r="H37" s="5"/>
    </row>
    <row r="38" customFormat="false" ht="68.65" hidden="false" customHeight="false" outlineLevel="0" collapsed="false">
      <c r="A38" s="5" t="s">
        <v>1294</v>
      </c>
      <c r="B38" s="5" t="s">
        <v>1216</v>
      </c>
      <c r="C38" s="5" t="s">
        <v>1295</v>
      </c>
      <c r="D38" s="5" t="s">
        <v>1296</v>
      </c>
      <c r="E38" s="5" t="s">
        <v>1297</v>
      </c>
      <c r="F38" s="5" t="s">
        <v>1293</v>
      </c>
      <c r="G38" s="8" t="s">
        <v>1141</v>
      </c>
      <c r="H38" s="5"/>
    </row>
    <row r="39" customFormat="false" ht="41.75" hidden="false" customHeight="false" outlineLevel="0" collapsed="false">
      <c r="A39" s="5" t="s">
        <v>1298</v>
      </c>
      <c r="B39" s="5" t="s">
        <v>1216</v>
      </c>
      <c r="C39" s="5" t="s">
        <v>1299</v>
      </c>
      <c r="D39" s="5" t="s">
        <v>90</v>
      </c>
      <c r="E39" s="5" t="s">
        <v>1300</v>
      </c>
      <c r="F39" s="5" t="s">
        <v>1301</v>
      </c>
      <c r="G39" s="8" t="s">
        <v>1141</v>
      </c>
      <c r="H39" s="5"/>
    </row>
    <row r="40" customFormat="false" ht="68.65" hidden="false" customHeight="false" outlineLevel="0" collapsed="false">
      <c r="A40" s="5" t="s">
        <v>1302</v>
      </c>
      <c r="B40" s="5" t="s">
        <v>1216</v>
      </c>
      <c r="C40" s="5" t="s">
        <v>1303</v>
      </c>
      <c r="D40" s="5" t="s">
        <v>1304</v>
      </c>
      <c r="E40" s="5" t="s">
        <v>1305</v>
      </c>
      <c r="F40" s="5" t="s">
        <v>1293</v>
      </c>
      <c r="G40" s="8" t="s">
        <v>1141</v>
      </c>
      <c r="H40" s="5"/>
    </row>
    <row r="41" customFormat="false" ht="41.75" hidden="false" customHeight="false" outlineLevel="0" collapsed="false">
      <c r="A41" s="5" t="s">
        <v>1306</v>
      </c>
      <c r="B41" s="5" t="s">
        <v>1307</v>
      </c>
      <c r="C41" s="5" t="s">
        <v>1308</v>
      </c>
      <c r="D41" s="5" t="s">
        <v>1309</v>
      </c>
      <c r="E41" s="5" t="s">
        <v>1310</v>
      </c>
      <c r="F41" s="5" t="s">
        <v>1311</v>
      </c>
      <c r="G41" s="8" t="s">
        <v>1141</v>
      </c>
      <c r="H41" s="5"/>
    </row>
    <row r="42" customFormat="false" ht="15" hidden="false" customHeight="false" outlineLevel="0" collapsed="false">
      <c r="A42" s="5" t="s">
        <v>1312</v>
      </c>
      <c r="B42" s="5"/>
      <c r="C42" s="5"/>
      <c r="D42" s="5"/>
      <c r="E42" s="5"/>
      <c r="F42" s="5"/>
      <c r="G42" s="5"/>
      <c r="H42" s="5"/>
    </row>
    <row r="43" customFormat="false" ht="95.5" hidden="false" customHeight="false" outlineLevel="0" collapsed="false">
      <c r="A43" s="5" t="s">
        <v>1313</v>
      </c>
      <c r="B43" s="5"/>
      <c r="C43" s="5"/>
      <c r="D43" s="5"/>
      <c r="E43" s="5"/>
      <c r="F43" s="5"/>
      <c r="G43" s="5"/>
      <c r="H43" s="5"/>
    </row>
    <row r="44" customFormat="false" ht="41.75" hidden="false" customHeight="false" outlineLevel="0" collapsed="false">
      <c r="A44" s="5" t="s">
        <v>1314</v>
      </c>
      <c r="B44" s="5"/>
      <c r="C44" s="5"/>
      <c r="D44" s="5"/>
      <c r="E44" s="5"/>
      <c r="F44" s="5"/>
      <c r="G44" s="5"/>
      <c r="H44" s="5"/>
    </row>
    <row r="45" customFormat="false" ht="68.65" hidden="false" customHeight="false" outlineLevel="0" collapsed="false">
      <c r="A45" s="5" t="s">
        <v>1315</v>
      </c>
      <c r="B45" s="5"/>
      <c r="C45" s="5"/>
      <c r="D45" s="5"/>
      <c r="E45" s="5"/>
      <c r="F45" s="5"/>
      <c r="G45" s="5"/>
      <c r="H45" s="5"/>
    </row>
    <row r="46" customFormat="false" ht="55.2" hidden="false" customHeight="false" outlineLevel="0" collapsed="false">
      <c r="A46" s="5" t="s">
        <v>1316</v>
      </c>
      <c r="B46" s="5"/>
      <c r="C46" s="5"/>
      <c r="D46" s="5"/>
      <c r="E46" s="5"/>
      <c r="F46" s="5"/>
      <c r="G46" s="5"/>
      <c r="H46" s="5"/>
    </row>
    <row r="47" customFormat="false" ht="95.5" hidden="false" customHeight="false" outlineLevel="0" collapsed="false">
      <c r="A47" s="5" t="s">
        <v>1317</v>
      </c>
      <c r="B47" s="5"/>
      <c r="C47" s="5"/>
      <c r="D47" s="5"/>
      <c r="E47" s="5"/>
      <c r="F47" s="5"/>
      <c r="G47" s="5"/>
      <c r="H47" s="5"/>
    </row>
    <row r="48" customFormat="false" ht="68.65" hidden="false" customHeight="false" outlineLevel="0" collapsed="false">
      <c r="A48" s="5" t="s">
        <v>1318</v>
      </c>
      <c r="B48" s="5"/>
      <c r="C48" s="5"/>
      <c r="D48" s="5"/>
      <c r="E48" s="5"/>
      <c r="F48" s="5"/>
      <c r="G48" s="5"/>
      <c r="H48" s="5"/>
    </row>
  </sheetData>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 ref="G27" r:id="rId25" display="Ouvrir"/>
    <hyperlink ref="G28" r:id="rId26" display="Ouvrir"/>
    <hyperlink ref="G29" r:id="rId27" display="Ouvrir"/>
    <hyperlink ref="G30" r:id="rId28" display="Ouvrir"/>
    <hyperlink ref="G31" r:id="rId29" display="Ouvrir"/>
    <hyperlink ref="G32" r:id="rId30" display="Ouvrir"/>
    <hyperlink ref="G33" r:id="rId31" display="Ouvrir"/>
    <hyperlink ref="G34" r:id="rId32" display="Ouvrir"/>
    <hyperlink ref="G35" r:id="rId33" display="Ouvrir"/>
    <hyperlink ref="G36" r:id="rId34" display="Ouvrir"/>
    <hyperlink ref="G37" r:id="rId35" display="Ouvrir"/>
    <hyperlink ref="G38" r:id="rId36" display="Ouvrir"/>
    <hyperlink ref="G39" r:id="rId37" display="Ouvrir"/>
    <hyperlink ref="G40" r:id="rId38" display="Ouvrir"/>
    <hyperlink ref="G41" r:id="rId39"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3" min="2" style="0" width="22"/>
    <col collapsed="false" customWidth="true" hidden="false" outlineLevel="0" max="4" min="4" style="0" width="50"/>
    <col collapsed="false" customWidth="true" hidden="false" outlineLevel="0" max="5" min="5" style="0" width="22"/>
  </cols>
  <sheetData>
    <row r="1" customFormat="false" ht="15" hidden="false" customHeight="false" outlineLevel="0" collapsed="false">
      <c r="A1" s="7" t="s">
        <v>29</v>
      </c>
      <c r="B1" s="7" t="s">
        <v>1319</v>
      </c>
      <c r="C1" s="7" t="s">
        <v>1320</v>
      </c>
      <c r="D1" s="7" t="s">
        <v>1131</v>
      </c>
      <c r="E1" s="7" t="s">
        <v>1133</v>
      </c>
    </row>
    <row r="2" customFormat="false" ht="28.35" hidden="false" customHeight="false" outlineLevel="0" collapsed="false">
      <c r="A2" s="5" t="s">
        <v>1321</v>
      </c>
      <c r="B2" s="5" t="s">
        <v>1322</v>
      </c>
      <c r="C2" s="5" t="s">
        <v>1323</v>
      </c>
      <c r="D2" s="5" t="s">
        <v>1324</v>
      </c>
      <c r="E2" s="8" t="s">
        <v>1141</v>
      </c>
    </row>
    <row r="3" customFormat="false" ht="28.35" hidden="false" customHeight="false" outlineLevel="0" collapsed="false">
      <c r="A3" s="5" t="s">
        <v>1325</v>
      </c>
      <c r="B3" s="5" t="s">
        <v>1326</v>
      </c>
      <c r="C3" s="5" t="s">
        <v>671</v>
      </c>
      <c r="D3" s="5" t="s">
        <v>1327</v>
      </c>
      <c r="E3" s="8" t="s">
        <v>1141</v>
      </c>
    </row>
    <row r="4" customFormat="false" ht="41.75" hidden="false" customHeight="false" outlineLevel="0" collapsed="false">
      <c r="A4" s="5" t="s">
        <v>1328</v>
      </c>
      <c r="B4" s="5" t="s">
        <v>1329</v>
      </c>
      <c r="C4" s="5" t="s">
        <v>1330</v>
      </c>
      <c r="D4" s="5" t="s">
        <v>1331</v>
      </c>
      <c r="E4" s="8" t="s">
        <v>1141</v>
      </c>
    </row>
    <row r="5" customFormat="false" ht="55.2" hidden="false" customHeight="false" outlineLevel="0" collapsed="false">
      <c r="A5" s="5" t="s">
        <v>1332</v>
      </c>
      <c r="B5" s="5" t="s">
        <v>1333</v>
      </c>
      <c r="C5" s="5" t="s">
        <v>1334</v>
      </c>
      <c r="D5" s="5" t="s">
        <v>1335</v>
      </c>
      <c r="E5" s="8" t="s">
        <v>1141</v>
      </c>
    </row>
    <row r="6" customFormat="false" ht="41.75" hidden="false" customHeight="false" outlineLevel="0" collapsed="false">
      <c r="A6" s="5" t="s">
        <v>1336</v>
      </c>
      <c r="B6" s="5" t="s">
        <v>1337</v>
      </c>
      <c r="C6" s="5" t="s">
        <v>1338</v>
      </c>
      <c r="D6" s="5" t="s">
        <v>1339</v>
      </c>
      <c r="E6" s="8" t="s">
        <v>1141</v>
      </c>
    </row>
    <row r="7" customFormat="false" ht="55.2" hidden="false" customHeight="false" outlineLevel="0" collapsed="false">
      <c r="A7" s="5" t="s">
        <v>1340</v>
      </c>
      <c r="B7" s="5" t="s">
        <v>1341</v>
      </c>
      <c r="C7" s="5" t="s">
        <v>1342</v>
      </c>
      <c r="D7" s="5" t="s">
        <v>1343</v>
      </c>
      <c r="E7" s="8" t="s">
        <v>1141</v>
      </c>
    </row>
    <row r="8" customFormat="false" ht="41.75" hidden="false" customHeight="false" outlineLevel="0" collapsed="false">
      <c r="A8" s="5" t="s">
        <v>1344</v>
      </c>
      <c r="B8" s="5" t="s">
        <v>1345</v>
      </c>
      <c r="C8" s="5" t="s">
        <v>1346</v>
      </c>
      <c r="D8" s="5" t="s">
        <v>1347</v>
      </c>
      <c r="E8" s="8" t="s">
        <v>1141</v>
      </c>
    </row>
    <row r="9" customFormat="false" ht="41.75" hidden="false" customHeight="false" outlineLevel="0" collapsed="false">
      <c r="A9" s="5" t="s">
        <v>1348</v>
      </c>
      <c r="B9" s="5" t="s">
        <v>1349</v>
      </c>
      <c r="C9" s="5" t="s">
        <v>1350</v>
      </c>
      <c r="D9" s="5" t="s">
        <v>1351</v>
      </c>
      <c r="E9" s="8" t="s">
        <v>1141</v>
      </c>
    </row>
    <row r="10" customFormat="false" ht="28.35" hidden="false" customHeight="false" outlineLevel="0" collapsed="false">
      <c r="A10" s="5" t="s">
        <v>1352</v>
      </c>
      <c r="B10" s="5" t="s">
        <v>1353</v>
      </c>
      <c r="C10" s="5" t="s">
        <v>163</v>
      </c>
      <c r="D10" s="5" t="s">
        <v>1354</v>
      </c>
      <c r="E10" s="8" t="s">
        <v>1141</v>
      </c>
    </row>
    <row r="11" customFormat="false" ht="41.75" hidden="false" customHeight="false" outlineLevel="0" collapsed="false">
      <c r="A11" s="5" t="s">
        <v>1355</v>
      </c>
      <c r="B11" s="5" t="s">
        <v>1356</v>
      </c>
      <c r="C11" s="5" t="s">
        <v>1357</v>
      </c>
      <c r="D11" s="5" t="s">
        <v>1358</v>
      </c>
      <c r="E11" s="8" t="s">
        <v>1141</v>
      </c>
    </row>
    <row r="12" customFormat="false" ht="55.2" hidden="false" customHeight="false" outlineLevel="0" collapsed="false">
      <c r="A12" s="5" t="s">
        <v>1359</v>
      </c>
      <c r="B12" s="5" t="s">
        <v>1360</v>
      </c>
      <c r="C12" s="5" t="s">
        <v>1361</v>
      </c>
      <c r="D12" s="5" t="s">
        <v>1362</v>
      </c>
      <c r="E12" s="8" t="s">
        <v>1141</v>
      </c>
    </row>
    <row r="13" customFormat="false" ht="41.75" hidden="false" customHeight="false" outlineLevel="0" collapsed="false">
      <c r="A13" s="5" t="s">
        <v>1363</v>
      </c>
      <c r="B13" s="5" t="s">
        <v>1364</v>
      </c>
      <c r="C13" s="5" t="s">
        <v>1365</v>
      </c>
      <c r="D13" s="5" t="s">
        <v>1366</v>
      </c>
      <c r="E13" s="8" t="s">
        <v>1141</v>
      </c>
    </row>
    <row r="14" customFormat="false" ht="41.75" hidden="false" customHeight="false" outlineLevel="0" collapsed="false">
      <c r="A14" s="5" t="s">
        <v>1367</v>
      </c>
      <c r="B14" s="5" t="s">
        <v>1368</v>
      </c>
      <c r="C14" s="5" t="s">
        <v>1369</v>
      </c>
      <c r="D14" s="5" t="s">
        <v>1370</v>
      </c>
      <c r="E14" s="8" t="s">
        <v>1141</v>
      </c>
    </row>
    <row r="15" customFormat="false" ht="41.75" hidden="false" customHeight="false" outlineLevel="0" collapsed="false">
      <c r="A15" s="5" t="s">
        <v>1371</v>
      </c>
      <c r="B15" s="5" t="s">
        <v>1372</v>
      </c>
      <c r="C15" s="5" t="s">
        <v>1373</v>
      </c>
      <c r="D15" s="5" t="s">
        <v>1374</v>
      </c>
      <c r="E15" s="8" t="s">
        <v>1141</v>
      </c>
    </row>
    <row r="16" customFormat="false" ht="55.2" hidden="false" customHeight="false" outlineLevel="0" collapsed="false">
      <c r="A16" s="5" t="s">
        <v>1375</v>
      </c>
      <c r="B16" s="5" t="s">
        <v>1376</v>
      </c>
      <c r="C16" s="5" t="s">
        <v>1377</v>
      </c>
      <c r="D16" s="5" t="s">
        <v>1378</v>
      </c>
      <c r="E16" s="8" t="s">
        <v>1141</v>
      </c>
    </row>
    <row r="17" customFormat="false" ht="41.75" hidden="false" customHeight="false" outlineLevel="0" collapsed="false">
      <c r="A17" s="5" t="s">
        <v>1379</v>
      </c>
      <c r="B17" s="5" t="s">
        <v>1380</v>
      </c>
      <c r="C17" s="5" t="s">
        <v>1381</v>
      </c>
      <c r="D17" s="5" t="s">
        <v>1382</v>
      </c>
      <c r="E17" s="8" t="s">
        <v>1141</v>
      </c>
    </row>
    <row r="18" customFormat="false" ht="41.75" hidden="false" customHeight="false" outlineLevel="0" collapsed="false">
      <c r="A18" s="5" t="s">
        <v>1383</v>
      </c>
      <c r="B18" s="5" t="s">
        <v>1384</v>
      </c>
      <c r="C18" s="5" t="s">
        <v>1385</v>
      </c>
      <c r="D18" s="5" t="s">
        <v>1386</v>
      </c>
      <c r="E18" s="8" t="s">
        <v>1141</v>
      </c>
    </row>
    <row r="19" customFormat="false" ht="28.35" hidden="false" customHeight="false" outlineLevel="0" collapsed="false">
      <c r="A19" s="5" t="s">
        <v>1387</v>
      </c>
      <c r="B19" s="5" t="s">
        <v>1388</v>
      </c>
      <c r="C19" s="5" t="s">
        <v>1389</v>
      </c>
      <c r="D19" s="5" t="s">
        <v>1390</v>
      </c>
      <c r="E19" s="8" t="s">
        <v>1141</v>
      </c>
    </row>
    <row r="20" customFormat="false" ht="41.75" hidden="false" customHeight="false" outlineLevel="0" collapsed="false">
      <c r="A20" s="5" t="s">
        <v>1391</v>
      </c>
      <c r="B20" s="5" t="s">
        <v>1392</v>
      </c>
      <c r="C20" s="5" t="s">
        <v>1393</v>
      </c>
      <c r="D20" s="5" t="s">
        <v>1394</v>
      </c>
      <c r="E20" s="8" t="s">
        <v>1141</v>
      </c>
    </row>
    <row r="21" customFormat="false" ht="68.65" hidden="false" customHeight="false" outlineLevel="0" collapsed="false">
      <c r="A21" s="5" t="s">
        <v>57</v>
      </c>
      <c r="B21" s="5" t="s">
        <v>1395</v>
      </c>
      <c r="C21" s="5" t="s">
        <v>1396</v>
      </c>
      <c r="D21" s="5" t="s">
        <v>1397</v>
      </c>
      <c r="E21" s="8" t="s">
        <v>1141</v>
      </c>
    </row>
    <row r="22" customFormat="false" ht="55.2" hidden="false" customHeight="false" outlineLevel="0" collapsed="false">
      <c r="A22" s="5" t="s">
        <v>1398</v>
      </c>
      <c r="B22" s="5" t="s">
        <v>1399</v>
      </c>
      <c r="C22" s="5" t="s">
        <v>1400</v>
      </c>
      <c r="D22" s="5" t="s">
        <v>1401</v>
      </c>
      <c r="E22" s="5"/>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 ref="E12" r:id="rId11" display="Ouvrir"/>
    <hyperlink ref="E13" r:id="rId12" display="Ouvrir"/>
    <hyperlink ref="E14" r:id="rId13" display="Ouvrir"/>
    <hyperlink ref="E15" r:id="rId14" display="Ouvrir"/>
    <hyperlink ref="E16" r:id="rId15" display="Ouvrir"/>
    <hyperlink ref="E17" r:id="rId16" display="Ouvrir"/>
    <hyperlink ref="E18" r:id="rId17" display="Ouvrir"/>
    <hyperlink ref="E19" r:id="rId18" display="Ouvrir"/>
    <hyperlink ref="E20" r:id="rId19" display="Ouvrir"/>
    <hyperlink ref="E21" r:id="rId2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22"/>
    <col collapsed="false" customWidth="true" hidden="false" outlineLevel="0" max="5" min="5" style="0" width="50"/>
    <col collapsed="false" customWidth="true" hidden="false" outlineLevel="0" max="10" min="6" style="0" width="22"/>
  </cols>
  <sheetData>
    <row r="1" customFormat="false" ht="28.35" hidden="false" customHeight="false" outlineLevel="0" collapsed="false">
      <c r="A1" s="7" t="s">
        <v>1402</v>
      </c>
      <c r="B1" s="7" t="s">
        <v>77</v>
      </c>
      <c r="C1" s="7" t="s">
        <v>74</v>
      </c>
      <c r="D1" s="7" t="s">
        <v>1403</v>
      </c>
      <c r="E1" s="7" t="s">
        <v>1131</v>
      </c>
      <c r="F1" s="7" t="s">
        <v>1133</v>
      </c>
      <c r="G1" s="7" t="s">
        <v>81</v>
      </c>
      <c r="H1" s="7" t="s">
        <v>1404</v>
      </c>
      <c r="I1" s="7" t="s">
        <v>1405</v>
      </c>
      <c r="J1" s="7" t="s">
        <v>1406</v>
      </c>
    </row>
    <row r="2" customFormat="false" ht="82.05" hidden="false" customHeight="false" outlineLevel="0" collapsed="false">
      <c r="A2" s="5" t="s">
        <v>1407</v>
      </c>
      <c r="B2" s="5" t="s">
        <v>989</v>
      </c>
      <c r="C2" s="5" t="s">
        <v>1408</v>
      </c>
      <c r="D2" s="5" t="s">
        <v>1409</v>
      </c>
      <c r="E2" s="5" t="s">
        <v>1410</v>
      </c>
      <c r="F2" s="5"/>
      <c r="G2" s="5" t="s">
        <v>1411</v>
      </c>
      <c r="H2" s="5" t="s">
        <v>1412</v>
      </c>
      <c r="I2" s="5" t="s">
        <v>1413</v>
      </c>
      <c r="J2" s="5"/>
    </row>
    <row r="3" customFormat="false" ht="82.05" hidden="false" customHeight="false" outlineLevel="0" collapsed="false">
      <c r="A3" s="5" t="s">
        <v>1414</v>
      </c>
      <c r="B3" s="5" t="s">
        <v>989</v>
      </c>
      <c r="C3" s="5" t="s">
        <v>1415</v>
      </c>
      <c r="D3" s="5" t="s">
        <v>1416</v>
      </c>
      <c r="E3" s="5" t="s">
        <v>1417</v>
      </c>
      <c r="F3" s="5"/>
      <c r="G3" s="5" t="s">
        <v>1411</v>
      </c>
      <c r="H3" s="5"/>
      <c r="I3" s="5"/>
      <c r="J3" s="5" t="s">
        <v>1418</v>
      </c>
    </row>
    <row r="4" customFormat="false" ht="41.75" hidden="false" customHeight="false" outlineLevel="0" collapsed="false">
      <c r="A4" s="5" t="s">
        <v>1419</v>
      </c>
      <c r="B4" s="5" t="s">
        <v>1420</v>
      </c>
      <c r="C4" s="5" t="s">
        <v>1421</v>
      </c>
      <c r="D4" s="5" t="s">
        <v>1422</v>
      </c>
      <c r="E4" s="5" t="s">
        <v>1423</v>
      </c>
      <c r="F4" s="8" t="s">
        <v>1141</v>
      </c>
      <c r="G4" s="8" t="s">
        <v>94</v>
      </c>
      <c r="H4" s="5"/>
      <c r="I4" s="5"/>
      <c r="J4" s="5"/>
    </row>
    <row r="5" customFormat="false" ht="55.2" hidden="false" customHeight="false" outlineLevel="0" collapsed="false">
      <c r="A5" s="5" t="s">
        <v>1424</v>
      </c>
      <c r="B5" s="5" t="s">
        <v>1425</v>
      </c>
      <c r="C5" s="5" t="s">
        <v>1426</v>
      </c>
      <c r="D5" s="5" t="s">
        <v>1427</v>
      </c>
      <c r="E5" s="5" t="s">
        <v>1428</v>
      </c>
      <c r="F5" s="5"/>
      <c r="G5" s="8" t="s">
        <v>94</v>
      </c>
      <c r="H5" s="5"/>
      <c r="I5" s="5"/>
      <c r="J5" s="5"/>
    </row>
    <row r="6" customFormat="false" ht="28.35" hidden="false" customHeight="false" outlineLevel="0" collapsed="false">
      <c r="A6" s="5" t="s">
        <v>1429</v>
      </c>
      <c r="B6" s="5" t="s">
        <v>1430</v>
      </c>
      <c r="C6" s="5" t="s">
        <v>1421</v>
      </c>
      <c r="D6" s="5" t="s">
        <v>1431</v>
      </c>
      <c r="E6" s="5" t="s">
        <v>1432</v>
      </c>
      <c r="F6" s="8" t="s">
        <v>1141</v>
      </c>
      <c r="G6" s="8" t="s">
        <v>94</v>
      </c>
      <c r="H6" s="5"/>
      <c r="I6" s="5"/>
      <c r="J6" s="5"/>
    </row>
    <row r="7" customFormat="false" ht="28.35" hidden="false" customHeight="false" outlineLevel="0" collapsed="false">
      <c r="A7" s="5" t="s">
        <v>1433</v>
      </c>
      <c r="B7" s="5" t="s">
        <v>1434</v>
      </c>
      <c r="C7" s="5" t="s">
        <v>1421</v>
      </c>
      <c r="D7" s="5" t="s">
        <v>1431</v>
      </c>
      <c r="E7" s="5" t="s">
        <v>1432</v>
      </c>
      <c r="F7" s="8" t="s">
        <v>1141</v>
      </c>
      <c r="G7" s="8" t="s">
        <v>94</v>
      </c>
      <c r="H7" s="5"/>
      <c r="I7" s="5"/>
      <c r="J7" s="5"/>
    </row>
    <row r="8" customFormat="false" ht="55.2" hidden="false" customHeight="false" outlineLevel="0" collapsed="false">
      <c r="A8" s="5" t="s">
        <v>1435</v>
      </c>
      <c r="B8" s="5" t="s">
        <v>1436</v>
      </c>
      <c r="C8" s="5" t="s">
        <v>1421</v>
      </c>
      <c r="D8" s="5" t="s">
        <v>1437</v>
      </c>
      <c r="E8" s="5" t="s">
        <v>1438</v>
      </c>
      <c r="F8" s="8" t="s">
        <v>1141</v>
      </c>
      <c r="G8" s="8" t="s">
        <v>94</v>
      </c>
      <c r="H8" s="5"/>
      <c r="I8" s="5"/>
      <c r="J8" s="5"/>
    </row>
    <row r="9" customFormat="false" ht="28.35" hidden="false" customHeight="false" outlineLevel="0" collapsed="false">
      <c r="A9" s="5" t="s">
        <v>1439</v>
      </c>
      <c r="B9" s="5" t="s">
        <v>1440</v>
      </c>
      <c r="C9" s="5" t="s">
        <v>1421</v>
      </c>
      <c r="D9" s="5" t="s">
        <v>1431</v>
      </c>
      <c r="E9" s="5" t="s">
        <v>1432</v>
      </c>
      <c r="F9" s="8" t="s">
        <v>1141</v>
      </c>
      <c r="G9" s="8" t="s">
        <v>94</v>
      </c>
      <c r="H9" s="5"/>
      <c r="I9" s="5"/>
      <c r="J9" s="5"/>
    </row>
    <row r="10" customFormat="false" ht="41.75" hidden="false" customHeight="false" outlineLevel="0" collapsed="false">
      <c r="A10" s="5" t="s">
        <v>1441</v>
      </c>
      <c r="B10" s="5" t="s">
        <v>1442</v>
      </c>
      <c r="C10" s="5" t="s">
        <v>1421</v>
      </c>
      <c r="D10" s="5" t="s">
        <v>1431</v>
      </c>
      <c r="E10" s="5" t="s">
        <v>1443</v>
      </c>
      <c r="F10" s="8" t="s">
        <v>1141</v>
      </c>
      <c r="G10" s="8" t="s">
        <v>94</v>
      </c>
      <c r="H10" s="5"/>
      <c r="I10" s="5"/>
      <c r="J10" s="5"/>
    </row>
    <row r="11" customFormat="false" ht="28.35" hidden="false" customHeight="false" outlineLevel="0" collapsed="false">
      <c r="A11" s="5" t="s">
        <v>1444</v>
      </c>
      <c r="B11" s="5" t="s">
        <v>1445</v>
      </c>
      <c r="C11" s="5" t="s">
        <v>1421</v>
      </c>
      <c r="D11" s="5" t="s">
        <v>1431</v>
      </c>
      <c r="E11" s="5" t="s">
        <v>1432</v>
      </c>
      <c r="F11" s="8" t="s">
        <v>1141</v>
      </c>
      <c r="G11" s="8" t="s">
        <v>94</v>
      </c>
      <c r="H11" s="5"/>
      <c r="I11" s="5"/>
      <c r="J11" s="5"/>
    </row>
    <row r="12" customFormat="false" ht="68.65" hidden="false" customHeight="false" outlineLevel="0" collapsed="false">
      <c r="A12" s="5" t="s">
        <v>1446</v>
      </c>
      <c r="B12" s="5" t="s">
        <v>1447</v>
      </c>
      <c r="C12" s="5" t="s">
        <v>1421</v>
      </c>
      <c r="D12" s="5" t="s">
        <v>1431</v>
      </c>
      <c r="E12" s="5" t="s">
        <v>1448</v>
      </c>
      <c r="F12" s="8" t="s">
        <v>1141</v>
      </c>
      <c r="G12" s="8" t="s">
        <v>94</v>
      </c>
      <c r="H12" s="5"/>
      <c r="I12" s="5"/>
      <c r="J12" s="5"/>
    </row>
    <row r="13" customFormat="false" ht="68.65" hidden="false" customHeight="false" outlineLevel="0" collapsed="false">
      <c r="A13" s="5" t="s">
        <v>1449</v>
      </c>
      <c r="B13" s="5" t="s">
        <v>1450</v>
      </c>
      <c r="C13" s="5" t="s">
        <v>1421</v>
      </c>
      <c r="D13" s="5" t="s">
        <v>1431</v>
      </c>
      <c r="E13" s="5" t="s">
        <v>1451</v>
      </c>
      <c r="F13" s="8" t="s">
        <v>1141</v>
      </c>
      <c r="G13" s="8" t="s">
        <v>94</v>
      </c>
      <c r="H13" s="5"/>
      <c r="I13" s="5"/>
      <c r="J13" s="5"/>
    </row>
    <row r="14" customFormat="false" ht="55.2" hidden="false" customHeight="false" outlineLevel="0" collapsed="false">
      <c r="A14" s="5" t="s">
        <v>1452</v>
      </c>
      <c r="B14" s="5" t="s">
        <v>1453</v>
      </c>
      <c r="C14" s="5" t="s">
        <v>1421</v>
      </c>
      <c r="D14" s="5" t="s">
        <v>1431</v>
      </c>
      <c r="E14" s="5" t="s">
        <v>1438</v>
      </c>
      <c r="F14" s="8" t="s">
        <v>1141</v>
      </c>
      <c r="G14" s="8" t="s">
        <v>94</v>
      </c>
      <c r="H14" s="5"/>
      <c r="I14" s="5"/>
      <c r="J14" s="5"/>
    </row>
    <row r="15" customFormat="false" ht="55.2" hidden="false" customHeight="false" outlineLevel="0" collapsed="false">
      <c r="A15" s="5" t="s">
        <v>1454</v>
      </c>
      <c r="B15" s="5" t="s">
        <v>1455</v>
      </c>
      <c r="C15" s="5" t="s">
        <v>1421</v>
      </c>
      <c r="D15" s="5" t="s">
        <v>1431</v>
      </c>
      <c r="E15" s="5" t="s">
        <v>1438</v>
      </c>
      <c r="F15" s="8" t="s">
        <v>1141</v>
      </c>
      <c r="G15" s="8" t="s">
        <v>94</v>
      </c>
      <c r="H15" s="5"/>
      <c r="I15" s="5"/>
      <c r="J15" s="5"/>
    </row>
    <row r="16" customFormat="false" ht="55.2" hidden="false" customHeight="false" outlineLevel="0" collapsed="false">
      <c r="A16" s="5" t="s">
        <v>1456</v>
      </c>
      <c r="B16" s="5" t="s">
        <v>1457</v>
      </c>
      <c r="C16" s="5" t="s">
        <v>1421</v>
      </c>
      <c r="D16" s="5" t="s">
        <v>1431</v>
      </c>
      <c r="E16" s="5" t="s">
        <v>1438</v>
      </c>
      <c r="F16" s="8" t="s">
        <v>1141</v>
      </c>
      <c r="G16" s="8" t="s">
        <v>94</v>
      </c>
      <c r="H16" s="5"/>
      <c r="I16" s="5"/>
      <c r="J16" s="5"/>
    </row>
    <row r="17" customFormat="false" ht="55.2" hidden="false" customHeight="false" outlineLevel="0" collapsed="false">
      <c r="A17" s="5" t="s">
        <v>1458</v>
      </c>
      <c r="B17" s="5" t="s">
        <v>1459</v>
      </c>
      <c r="C17" s="5" t="s">
        <v>1421</v>
      </c>
      <c r="D17" s="5" t="s">
        <v>1431</v>
      </c>
      <c r="E17" s="5" t="s">
        <v>1438</v>
      </c>
      <c r="F17" s="8" t="s">
        <v>1141</v>
      </c>
      <c r="G17" s="8" t="s">
        <v>94</v>
      </c>
      <c r="H17" s="5"/>
      <c r="I17" s="5"/>
      <c r="J17" s="5"/>
    </row>
    <row r="18" customFormat="false" ht="55.2" hidden="false" customHeight="false" outlineLevel="0" collapsed="false">
      <c r="A18" s="5" t="s">
        <v>1460</v>
      </c>
      <c r="B18" s="5" t="s">
        <v>1461</v>
      </c>
      <c r="C18" s="5" t="s">
        <v>1421</v>
      </c>
      <c r="D18" s="5" t="s">
        <v>1431</v>
      </c>
      <c r="E18" s="5" t="s">
        <v>1438</v>
      </c>
      <c r="F18" s="8" t="s">
        <v>1141</v>
      </c>
      <c r="G18" s="8" t="s">
        <v>94</v>
      </c>
      <c r="H18" s="5"/>
      <c r="I18" s="5"/>
      <c r="J18" s="5"/>
    </row>
    <row r="19" customFormat="false" ht="68.65" hidden="false" customHeight="false" outlineLevel="0" collapsed="false">
      <c r="A19" s="5" t="s">
        <v>1462</v>
      </c>
      <c r="B19" s="5" t="s">
        <v>1463</v>
      </c>
      <c r="C19" s="5" t="s">
        <v>1421</v>
      </c>
      <c r="D19" s="5" t="s">
        <v>1431</v>
      </c>
      <c r="E19" s="5" t="s">
        <v>1464</v>
      </c>
      <c r="F19" s="8" t="s">
        <v>1141</v>
      </c>
      <c r="G19" s="8" t="s">
        <v>94</v>
      </c>
      <c r="H19" s="5"/>
      <c r="I19" s="5"/>
      <c r="J19" s="5"/>
    </row>
    <row r="20" customFormat="false" ht="68.65" hidden="false" customHeight="false" outlineLevel="0" collapsed="false">
      <c r="A20" s="5" t="s">
        <v>1465</v>
      </c>
      <c r="B20" s="5" t="s">
        <v>1466</v>
      </c>
      <c r="C20" s="5" t="s">
        <v>1421</v>
      </c>
      <c r="D20" s="5" t="s">
        <v>1431</v>
      </c>
      <c r="E20" s="5" t="s">
        <v>1464</v>
      </c>
      <c r="F20" s="8" t="s">
        <v>1141</v>
      </c>
      <c r="G20" s="8" t="s">
        <v>94</v>
      </c>
      <c r="H20" s="5"/>
      <c r="I20" s="5"/>
      <c r="J20" s="5"/>
    </row>
    <row r="21" customFormat="false" ht="41.75" hidden="false" customHeight="false" outlineLevel="0" collapsed="false">
      <c r="A21" s="5" t="s">
        <v>1467</v>
      </c>
      <c r="B21" s="5" t="s">
        <v>1468</v>
      </c>
      <c r="C21" s="5" t="s">
        <v>1421</v>
      </c>
      <c r="D21" s="5" t="s">
        <v>1469</v>
      </c>
      <c r="E21" s="5" t="s">
        <v>1470</v>
      </c>
      <c r="F21" s="8" t="s">
        <v>1141</v>
      </c>
      <c r="G21" s="8" t="s">
        <v>94</v>
      </c>
      <c r="H21" s="5"/>
      <c r="I21" s="5"/>
      <c r="J21" s="5"/>
    </row>
    <row r="22" customFormat="false" ht="28.35" hidden="false" customHeight="false" outlineLevel="0" collapsed="false">
      <c r="A22" s="5" t="s">
        <v>1471</v>
      </c>
      <c r="B22" s="5" t="s">
        <v>1472</v>
      </c>
      <c r="C22" s="5" t="s">
        <v>1421</v>
      </c>
      <c r="D22" s="5" t="s">
        <v>1431</v>
      </c>
      <c r="E22" s="5" t="s">
        <v>1473</v>
      </c>
      <c r="F22" s="8" t="s">
        <v>1141</v>
      </c>
      <c r="G22" s="8" t="s">
        <v>94</v>
      </c>
      <c r="H22" s="5"/>
      <c r="I22" s="5"/>
      <c r="J22" s="5"/>
    </row>
    <row r="23" customFormat="false" ht="41.75" hidden="false" customHeight="false" outlineLevel="0" collapsed="false">
      <c r="A23" s="5" t="s">
        <v>1474</v>
      </c>
      <c r="B23" s="5" t="s">
        <v>1475</v>
      </c>
      <c r="C23" s="5" t="s">
        <v>1415</v>
      </c>
      <c r="D23" s="5" t="s">
        <v>1476</v>
      </c>
      <c r="E23" s="5" t="s">
        <v>1477</v>
      </c>
      <c r="F23" s="8" t="s">
        <v>1141</v>
      </c>
      <c r="G23" s="8" t="s">
        <v>94</v>
      </c>
      <c r="H23" s="5"/>
      <c r="I23" s="5"/>
      <c r="J23" s="5"/>
    </row>
    <row r="24" customFormat="false" ht="82.05" hidden="false" customHeight="false" outlineLevel="0" collapsed="false">
      <c r="A24" s="5" t="s">
        <v>1478</v>
      </c>
      <c r="B24" s="5"/>
      <c r="C24" s="5"/>
      <c r="D24" s="5"/>
      <c r="E24" s="5"/>
      <c r="F24" s="5"/>
      <c r="G24" s="5"/>
      <c r="H24" s="5"/>
      <c r="I24" s="5"/>
      <c r="J24" s="5"/>
    </row>
    <row r="25" customFormat="false" ht="82.05" hidden="false" customHeight="false" outlineLevel="0" collapsed="false">
      <c r="A25" s="5" t="s">
        <v>1479</v>
      </c>
      <c r="B25" s="5"/>
      <c r="C25" s="5"/>
      <c r="D25" s="5"/>
      <c r="E25" s="5"/>
      <c r="F25" s="5"/>
      <c r="G25" s="5"/>
      <c r="H25" s="5"/>
      <c r="I25" s="5"/>
      <c r="J25" s="5"/>
    </row>
    <row r="26" customFormat="false" ht="149.25" hidden="false" customHeight="false" outlineLevel="0" collapsed="false">
      <c r="A26" s="5" t="s">
        <v>1480</v>
      </c>
      <c r="B26" s="5"/>
      <c r="C26" s="5"/>
      <c r="D26" s="5"/>
      <c r="E26" s="5"/>
      <c r="F26" s="5"/>
      <c r="G26" s="5"/>
      <c r="H26" s="5"/>
      <c r="I26" s="5"/>
      <c r="J26" s="5"/>
    </row>
    <row r="27" customFormat="false" ht="55.2" hidden="false" customHeight="false" outlineLevel="0" collapsed="false">
      <c r="A27" s="5" t="s">
        <v>1481</v>
      </c>
      <c r="B27" s="5"/>
      <c r="C27" s="5"/>
      <c r="D27" s="5"/>
      <c r="E27" s="5"/>
      <c r="F27" s="5"/>
      <c r="G27" s="5"/>
      <c r="H27" s="5"/>
      <c r="I27" s="5"/>
      <c r="J27" s="5"/>
    </row>
  </sheetData>
  <hyperlinks>
    <hyperlink ref="F4" r:id="rId1" display="Ouvrir"/>
    <hyperlink ref="G4" r:id="rId2" display="Voir"/>
    <hyperlink ref="G5" r:id="rId3" display="Voir"/>
    <hyperlink ref="F6" r:id="rId4" display="Ouvrir"/>
    <hyperlink ref="G6" r:id="rId5" display="Voir"/>
    <hyperlink ref="F7" r:id="rId6" display="Ouvrir"/>
    <hyperlink ref="G7" r:id="rId7" display="Voir"/>
    <hyperlink ref="F8" r:id="rId8" display="Ouvrir"/>
    <hyperlink ref="G8" r:id="rId9" display="Voir"/>
    <hyperlink ref="F9" r:id="rId10" display="Ouvrir"/>
    <hyperlink ref="G9" r:id="rId11" display="Voir"/>
    <hyperlink ref="F10" r:id="rId12" display="Ouvrir"/>
    <hyperlink ref="G10" r:id="rId13" display="Voir"/>
    <hyperlink ref="F11" r:id="rId14" display="Ouvrir"/>
    <hyperlink ref="G11" r:id="rId15" display="Voir"/>
    <hyperlink ref="F12" r:id="rId16" display="Ouvrir"/>
    <hyperlink ref="G12" r:id="rId17" display="Voir"/>
    <hyperlink ref="F13" r:id="rId18" display="Ouvrir"/>
    <hyperlink ref="G13" r:id="rId19" display="Voir"/>
    <hyperlink ref="F14" r:id="rId20" display="Ouvrir"/>
    <hyperlink ref="G14" r:id="rId21" display="Voir"/>
    <hyperlink ref="F15" r:id="rId22" display="Ouvrir"/>
    <hyperlink ref="G15" r:id="rId23" display="Voir"/>
    <hyperlink ref="F16" r:id="rId24" display="Ouvrir"/>
    <hyperlink ref="G16" r:id="rId25" display="Voir"/>
    <hyperlink ref="F17" r:id="rId26" display="Ouvrir"/>
    <hyperlink ref="G17" r:id="rId27" display="Voir"/>
    <hyperlink ref="F18" r:id="rId28" display="Ouvrir"/>
    <hyperlink ref="G18" r:id="rId29" display="Voir"/>
    <hyperlink ref="F19" r:id="rId30" display="Ouvrir"/>
    <hyperlink ref="G19" r:id="rId31" display="Voir"/>
    <hyperlink ref="F20" r:id="rId32" display="Ouvrir"/>
    <hyperlink ref="G20" r:id="rId33" display="Voir"/>
    <hyperlink ref="F21" r:id="rId34" display="Ouvrir"/>
    <hyperlink ref="G21" r:id="rId35" display="Voir"/>
    <hyperlink ref="F22" r:id="rId36" display="Ouvrir"/>
    <hyperlink ref="G22" r:id="rId37" display="Voir"/>
    <hyperlink ref="F23" r:id="rId38" display="Ouvrir"/>
    <hyperlink ref="G23" r:id="rId3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18"/>
    <col collapsed="false" customWidth="true" hidden="false" outlineLevel="0" max="4" min="4" style="0" width="12"/>
    <col collapsed="false" customWidth="true" hidden="false" outlineLevel="0" max="5" min="5" style="0" width="22"/>
    <col collapsed="false" customWidth="true" hidden="false" outlineLevel="0" max="6" min="6" style="0" width="16"/>
    <col collapsed="false" customWidth="true" hidden="false" outlineLevel="0" max="7" min="7" style="0" width="24"/>
    <col collapsed="false" customWidth="true" hidden="false" outlineLevel="0" max="8" min="8" style="0" width="50"/>
  </cols>
  <sheetData>
    <row r="1" customFormat="false" ht="28.35" hidden="false" customHeight="false" outlineLevel="0" collapsed="false">
      <c r="A1" s="7" t="s">
        <v>1482</v>
      </c>
      <c r="B1" s="7" t="s">
        <v>1483</v>
      </c>
      <c r="C1" s="7" t="s">
        <v>1484</v>
      </c>
      <c r="D1" s="7" t="s">
        <v>1485</v>
      </c>
      <c r="E1" s="7" t="s">
        <v>1486</v>
      </c>
      <c r="F1" s="7" t="s">
        <v>82</v>
      </c>
      <c r="G1" s="7" t="s">
        <v>84</v>
      </c>
      <c r="H1" s="7" t="s">
        <v>1487</v>
      </c>
    </row>
    <row r="2" customFormat="false" ht="30" hidden="false" customHeight="true" outlineLevel="0" collapsed="false">
      <c r="A2" s="2" t="s">
        <v>1488</v>
      </c>
      <c r="B2" s="2"/>
      <c r="C2" s="2"/>
      <c r="D2" s="2"/>
      <c r="E2" s="2"/>
      <c r="F2" s="2"/>
      <c r="G2" s="2"/>
      <c r="H2" s="2"/>
    </row>
  </sheetData>
  <mergeCells count="1">
    <mergeCell ref="A2:H2"/>
  </mergeCells>
  <dataValidations count="1">
    <dataValidation allowBlank="true" errorStyle="stop" operator="between" showDropDown="false" showErrorMessage="true" showInputMessage="false" sqref="F3:F500" type="list">
      <formula1>"Répondu,Relancé,RDV fixé,Vendu,Perdu"</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2026-10-13T14:35:44Z</dcterms:created>
  <dc:creator>openpyxl</dc:creator>
  <dc:description/>
  <dc:language>en-US</dc:language>
  <cp:lastModifiedBy/>
  <dcterms:modified xsi:type="dcterms:W3CDTF">2026-10-13T14:35:44Z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