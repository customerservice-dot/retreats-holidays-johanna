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ynthèse" sheetId="1" state="visible" r:id="rId1"/>
    <sheet xmlns:r="http://schemas.openxmlformats.org/officeDocument/2006/relationships" name="Tous les clients" sheetId="2" state="visible" r:id="rId2"/>
    <sheet xmlns:r="http://schemas.openxmlformats.org/officeDocument/2006/relationships" name="Où trouver des particuliers" sheetId="3" state="visible" r:id="rId3"/>
    <sheet xmlns:r="http://schemas.openxmlformats.org/officeDocument/2006/relationships" name="Plateformes pros" sheetId="4" state="visible" r:id="rId4"/>
    <sheet xmlns:r="http://schemas.openxmlformats.org/officeDocument/2006/relationships" name="Groupes Facebook" sheetId="5" state="visible" r:id="rId5"/>
    <sheet xmlns:r="http://schemas.openxmlformats.org/officeDocument/2006/relationships" name="Contacts particuliers" sheetId="6" state="visible" r:id="rId6"/>
  </sheets>
  <definedNames>
    <definedName name="_xlnm._FilterDatabase" localSheetId="1" hidden="1">'Tous les clients'!$A$1:$P$250</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b val="1"/>
      <sz val="11"/>
    </font>
    <font>
      <name val="Cambria"/>
      <charset val="1"/>
      <family val="0"/>
      <b val="1"/>
      <color rgb="FFFFFFFF"/>
      <sz val="11"/>
    </font>
    <font>
      <name val="Cambria"/>
      <charset val="1"/>
      <family val="0"/>
      <color rgb="FF1F5FBF"/>
      <sz val="11"/>
      <u val="single"/>
    </font>
  </fonts>
  <fills count="4">
    <fill>
      <patternFill/>
    </fill>
    <fill>
      <patternFill patternType="gray125"/>
    </fill>
    <fill>
      <patternFill patternType="solid">
        <fgColor rgb="FF2F4F3E"/>
        <bgColor rgb="FF333300"/>
      </patternFill>
    </fill>
    <fill>
      <patternFill patternType="solid">
        <fgColor rgb="FFFFF4C2"/>
        <bgColor rgb="FFFFFF99"/>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0" applyAlignment="1" pivotButton="0" quotePrefix="0" xfId="0">
      <alignment horizontal="general" vertical="top" wrapText="1"/>
    </xf>
    <xf numFmtId="0" fontId="7" fillId="0" borderId="0" applyAlignment="1" pivotButton="0" quotePrefix="0" xfId="0">
      <alignment horizontal="general" vertical="top" wrapText="1"/>
    </xf>
    <xf numFmtId="0" fontId="0" fillId="3"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0"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0" applyAlignment="1" pivotButton="0" quotePrefix="0" xfId="0">
      <alignment horizontal="general" vertical="top" wrapText="1"/>
    </xf>
    <xf numFmtId="0" fontId="7" fillId="0" borderId="0" applyAlignment="1" pivotButton="0" quotePrefix="0" xfId="0">
      <alignment horizontal="general" vertical="top" wrapText="1"/>
    </xf>
    <xf numFmtId="0" fontId="0" fillId="3"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2F4F3E"/>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F5FBF"/>
          <bgColor rgb="FF000000"/>
        </patternFill>
      </fill>
    </dxf>
    <dxf>
      <fill>
        <patternFill patternType="solid">
          <fgColor rgb="FFFFF4C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2"/>
      <rgbColor rgb="FFCCFFFF"/>
      <rgbColor rgb="FF660066"/>
      <rgbColor rgb="FFFF8080"/>
      <rgbColor rgb="FF1F5FBF"/>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4F3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www.abl-negoce.fr/" TargetMode="External" Id="rId1"/><Relationship Type="http://schemas.openxmlformats.org/officeDocument/2006/relationships/hyperlink" Target="https://www.abl-negoce.fr/pierres-gres-ardoise-calvados.php" TargetMode="External" Id="rId2"/><Relationship Type="http://schemas.openxmlformats.org/officeDocument/2006/relationships/hyperlink" Target="https://magasins.bigmat.fr/normandie/eure/evreux/bigmat-evreux-mvr-materiaux-144" TargetMode="External" Id="rId3"/><Relationship Type="http://schemas.openxmlformats.org/officeDocument/2006/relationships/hyperlink" Target="https://www.118712.fr/professionnels/WUNQVlVSFQA" TargetMode="External" Id="rId4"/><Relationship Type="http://schemas.openxmlformats.org/officeDocument/2006/relationships/hyperlink" Target="https://www.carrelages-dente.fr/" TargetMode="External" Id="rId5"/><Relationship Type="http://schemas.openxmlformats.org/officeDocument/2006/relationships/hyperlink" Target="https://www.carrelages-dente.fr/" TargetMode="External" Id="rId6"/><Relationship Type="http://schemas.openxmlformats.org/officeDocument/2006/relationships/hyperlink" Target="https://www.pagesjaunes.fr/pros/60994953" TargetMode="External" Id="rId7"/><Relationship Type="http://schemas.openxmlformats.org/officeDocument/2006/relationships/hyperlink" Target="https://www.lemondedelapierre.fr/" TargetMode="External" Id="rId8"/><Relationship Type="http://schemas.openxmlformats.org/officeDocument/2006/relationships/hyperlink" Target="https://www.lemondedelapierre.fr/" TargetMode="External" Id="rId9"/><Relationship Type="http://schemas.openxmlformats.org/officeDocument/2006/relationships/hyperlink" Target="https://www.midi-carrelage.fr/" TargetMode="External" Id="rId10"/><Relationship Type="http://schemas.openxmlformats.org/officeDocument/2006/relationships/hyperlink" Target="https://www.118712.fr/professionnels/X0RYXFJXFAI" TargetMode="External" Id="rId11"/><Relationship Type="http://schemas.openxmlformats.org/officeDocument/2006/relationships/hyperlink" Target="https://www.nivault.com/" TargetMode="External" Id="rId12"/><Relationship Type="http://schemas.openxmlformats.org/officeDocument/2006/relationships/hyperlink" Target="https://www.nivault.com/" TargetMode="External" Id="rId13"/><Relationship Type="http://schemas.openxmlformats.org/officeDocument/2006/relationships/hyperlink" Target="https://www.paysagesconseil.fr/paysagiste-caen/" TargetMode="External" Id="rId14"/><Relationship Type="http://schemas.openxmlformats.org/officeDocument/2006/relationships/hyperlink" Target="https://www.paysagesconseil.fr/paysagiste-caen/" TargetMode="External" Id="rId15"/><Relationship Type="http://schemas.openxmlformats.org/officeDocument/2006/relationships/hyperlink" Target="https://www.pillaud-materiaux.com/" TargetMode="External" Id="rId16"/><Relationship Type="http://schemas.openxmlformats.org/officeDocument/2006/relationships/hyperlink" Target="https://www.pillaud-materiaux.com/" TargetMode="External" Id="rId17"/><Relationship Type="http://schemas.openxmlformats.org/officeDocument/2006/relationships/hyperlink" Target="https://www.sedelka.fr/" TargetMode="External" Id="rId18"/><Relationship Type="http://schemas.openxmlformats.org/officeDocument/2006/relationships/hyperlink" Target="https://www.sedelka.fr/" TargetMode="External" Id="rId19"/><Relationship Type="http://schemas.openxmlformats.org/officeDocument/2006/relationships/hyperlink" Target="https://www.solmur.fr/" TargetMode="External" Id="rId20"/><Relationship Type="http://schemas.openxmlformats.org/officeDocument/2006/relationships/hyperlink" Target="https://www.118712.fr/professionnels/X0VYXVVRHQU" TargetMode="External" Id="rId21"/><Relationship Type="http://schemas.openxmlformats.org/officeDocument/2006/relationships/hyperlink" Target="https://www.tendancecarrelagesrouen.fr/" TargetMode="External" Id="rId22"/><Relationship Type="http://schemas.openxmlformats.org/officeDocument/2006/relationships/hyperlink" Target="https://www.tendancecarrelagesrouen.fr/" TargetMode="External" Id="rId23"/><Relationship Type="http://schemas.openxmlformats.org/officeDocument/2006/relationships/hyperlink" Target="https://www.torchio.fr/" TargetMode="External" Id="rId24"/><Relationship Type="http://schemas.openxmlformats.org/officeDocument/2006/relationships/hyperlink" Target="https://www.torchio.fr/showrooms-7.html" TargetMode="External" Id="rId25"/><Relationship Type="http://schemas.openxmlformats.org/officeDocument/2006/relationships/hyperlink" Target="https://www.tragin-sa.com/" TargetMode="External" Id="rId26"/><Relationship Type="http://schemas.openxmlformats.org/officeDocument/2006/relationships/hyperlink" Target="https://www.tragin-sa.com/" TargetMode="External" Id="rId27"/><Relationship Type="http://schemas.openxmlformats.org/officeDocument/2006/relationships/hyperlink" Target="https://www.batimantes.fr/" TargetMode="External" Id="rId28"/><Relationship Type="http://schemas.openxmlformats.org/officeDocument/2006/relationships/hyperlink" Target="https://www.espace-aubade.fr/magasins/colombes-193.html" TargetMode="External" Id="rId29"/><Relationship Type="http://schemas.openxmlformats.org/officeDocument/2006/relationships/hyperlink" Target="https://coignieres.mondial-piscine.eu/" TargetMode="External" Id="rId30"/><Relationship Type="http://schemas.openxmlformats.org/officeDocument/2006/relationships/hyperlink" Target="https://www.mondial-piscine.eu/trouver-un-concessionnaire/ile-de-france-fr/belles-piscines-coignieres/" TargetMode="External" Id="rId31"/><Relationship Type="http://schemas.openxmlformats.org/officeDocument/2006/relationships/hyperlink" Target="https://magasins.bigmat.fr/ile-de-france/yvelines/mareil-sur-mauldre/bigmat-mareil-sur-mauldre-aubert-materiaux-240" TargetMode="External" Id="rId32"/><Relationship Type="http://schemas.openxmlformats.org/officeDocument/2006/relationships/hyperlink" Target="https://www.carrelage-design-95.fr/" TargetMode="External" Id="rId33"/><Relationship Type="http://schemas.openxmlformats.org/officeDocument/2006/relationships/hyperlink" Target="https://www.carrelage-design-95.fr/" TargetMode="External" Id="rId34"/><Relationship Type="http://schemas.openxmlformats.org/officeDocument/2006/relationships/hyperlink" Target="https://www.carrelage-roger.com/" TargetMode="External" Id="rId35"/><Relationship Type="http://schemas.openxmlformats.org/officeDocument/2006/relationships/hyperlink" Target="https://www.carrelage-roger.com/content/14-carrelage-roger-herblay" TargetMode="External" Id="rId36"/><Relationship Type="http://schemas.openxmlformats.org/officeDocument/2006/relationships/hyperlink" Target="https://www.118712.fr/annuaire/region/ile-de-france/grossiste-pierres-naturelles" TargetMode="External" Id="rId37"/><Relationship Type="http://schemas.openxmlformats.org/officeDocument/2006/relationships/hyperlink" Target="https://www.ceramico.fr/" TargetMode="External" Id="rId38"/><Relationship Type="http://schemas.openxmlformats.org/officeDocument/2006/relationships/hyperlink" Target="https://www.ceramico.fr/" TargetMode="External" Id="rId39"/><Relationship Type="http://schemas.openxmlformats.org/officeDocument/2006/relationships/hyperlink" Target="https://www.decomarbre.fr/" TargetMode="External" Id="rId40"/><Relationship Type="http://schemas.openxmlformats.org/officeDocument/2006/relationships/hyperlink" Target="https://www.118712.fr/professionnels/X0JUXVFWFQQ" TargetMode="External" Id="rId41"/><Relationship Type="http://schemas.openxmlformats.org/officeDocument/2006/relationships/hyperlink" Target="https://flipo.fr/" TargetMode="External" Id="rId42"/><Relationship Type="http://schemas.openxmlformats.org/officeDocument/2006/relationships/hyperlink" Target="https://flipo.fr/expertises/carrelage-et-marbrerie/" TargetMode="External" Id="rId43"/><Relationship Type="http://schemas.openxmlformats.org/officeDocument/2006/relationships/hyperlink" Target="https://www.gedimat.fr/2264-magasin-gedimat-aux-docks-de-clamart-clamart.htm" TargetMode="External" Id="rId44"/><Relationship Type="http://schemas.openxmlformats.org/officeDocument/2006/relationships/hyperlink" Target="https://www.gedimat.fr/2264-magasin-gedimat-aux-docks-de-clamart-clamart.htm" TargetMode="External" Id="rId45"/><Relationship Type="http://schemas.openxmlformats.org/officeDocument/2006/relationships/hyperlink" Target="https://www.gedimat.fr/2034-magasin-gedimat-sefor-houilles.htm" TargetMode="External" Id="rId46"/><Relationship Type="http://schemas.openxmlformats.org/officeDocument/2006/relationships/hyperlink" Target="https://www.gedimat.fr/2034-magasin-gedimat-sefor-houilles.htm" TargetMode="External" Id="rId47"/><Relationship Type="http://schemas.openxmlformats.org/officeDocument/2006/relationships/hyperlink" Target="https://kap-carrelage.store/" TargetMode="External" Id="rId48"/><Relationship Type="http://schemas.openxmlformats.org/officeDocument/2006/relationships/hyperlink" Target="https://kap-carrelage.store/" TargetMode="External" Id="rId49"/><Relationship Type="http://schemas.openxmlformats.org/officeDocument/2006/relationships/hyperlink" Target="https://www.118712.fr/annuaire/region/ile-de-france/grossiste-pierres-naturelles" TargetMode="External" Id="rId50"/><Relationship Type="http://schemas.openxmlformats.org/officeDocument/2006/relationships/hyperlink" Target="https://leholloco.com/" TargetMode="External" Id="rId51"/><Relationship Type="http://schemas.openxmlformats.org/officeDocument/2006/relationships/hyperlink" Target="https://www.leholloco.com/agences" TargetMode="External" Id="rId52"/><Relationship Type="http://schemas.openxmlformats.org/officeDocument/2006/relationships/hyperlink" Target="https://lemondedesjardins.fr/" TargetMode="External" Id="rId53"/><Relationship Type="http://schemas.openxmlformats.org/officeDocument/2006/relationships/hyperlink" Target="https://lemondedesjardins.fr/services/maconnerie-paysagere/" TargetMode="External" Id="rId54"/><Relationship Type="http://schemas.openxmlformats.org/officeDocument/2006/relationships/hyperlink" Target="https://www.mca-materiaux.com/" TargetMode="External" Id="rId55"/><Relationship Type="http://schemas.openxmlformats.org/officeDocument/2006/relationships/hyperlink" Target="https://negoce.france-materiaux.fr/251-mca-materiaux-cuisines-amenagements" TargetMode="External" Id="rId56"/><Relationship Type="http://schemas.openxmlformats.org/officeDocument/2006/relationships/hyperlink" Target="https://www.mdy-france.com/" TargetMode="External" Id="rId57"/><Relationship Type="http://schemas.openxmlformats.org/officeDocument/2006/relationships/hyperlink" Target="https://www.mdy-france.com/nos-showrooms/" TargetMode="External" Id="rId58"/><Relationship Type="http://schemas.openxmlformats.org/officeDocument/2006/relationships/hyperlink" Target="https://www.mpt-marbrier.fr/" TargetMode="External" Id="rId59"/><Relationship Type="http://schemas.openxmlformats.org/officeDocument/2006/relationships/hyperlink" Target="https://www.mpt-marbrier.fr/" TargetMode="External" Id="rId60"/><Relationship Type="http://schemas.openxmlformats.org/officeDocument/2006/relationships/hyperlink" Target="https://www.118712.fr/annuaire/region/ile-de-france/grossiste-pierres-naturelles" TargetMode="External" Id="rId61"/><Relationship Type="http://schemas.openxmlformats.org/officeDocument/2006/relationships/hyperlink" Target="https://www.pmc-marbrerie.com/" TargetMode="External" Id="rId62"/><Relationship Type="http://schemas.openxmlformats.org/officeDocument/2006/relationships/hyperlink" Target="https://www.pmc-marbrerie.com/contact" TargetMode="External" Id="rId63"/><Relationship Type="http://schemas.openxmlformats.org/officeDocument/2006/relationships/hyperlink" Target="https://www.118712.fr/annuaire/region/ile-de-france/grossiste-pierres-naturelles" TargetMode="External" Id="rId64"/><Relationship Type="http://schemas.openxmlformats.org/officeDocument/2006/relationships/hyperlink" Target="https://www.palatino.fr/" TargetMode="External" Id="rId65"/><Relationship Type="http://schemas.openxmlformats.org/officeDocument/2006/relationships/hyperlink" Target="https://palatino.fr/contact/" TargetMode="External" Id="rId66"/><Relationship Type="http://schemas.openxmlformats.org/officeDocument/2006/relationships/hyperlink" Target="https://www.parquet-carrelage.com/" TargetMode="External" Id="rId67"/><Relationship Type="http://schemas.openxmlformats.org/officeDocument/2006/relationships/hyperlink" Target="https://www.118712.fr/professionnels/WkBVW19QFAA" TargetMode="External" Id="rId68"/><Relationship Type="http://schemas.openxmlformats.org/officeDocument/2006/relationships/hyperlink" Target="https://www.pierluxpierrenaturelle.fr/" TargetMode="External" Id="rId69"/><Relationship Type="http://schemas.openxmlformats.org/officeDocument/2006/relationships/hyperlink" Target="https://www.118712.fr/professionnels/WkNYXVdSHQE" TargetMode="External" Id="rId70"/><Relationship Type="http://schemas.openxmlformats.org/officeDocument/2006/relationships/hyperlink" Target="https://pierres-nat.com/" TargetMode="External" Id="rId71"/><Relationship Type="http://schemas.openxmlformats.org/officeDocument/2006/relationships/hyperlink" Target="https://pierres-nat.com/vente-de-pierres-naturelles-dans-les-yvelines/" TargetMode="External" Id="rId72"/><Relationship Type="http://schemas.openxmlformats.org/officeDocument/2006/relationships/hyperlink" Target="https://www.pagesjaunes.fr/annuaire/piscop-95/vente-de-carrelages-dallages" TargetMode="External" Id="rId73"/><Relationship Type="http://schemas.openxmlformats.org/officeDocument/2006/relationships/hyperlink" Target="https://raboni.fr/" TargetMode="External" Id="rId74"/><Relationship Type="http://schemas.openxmlformats.org/officeDocument/2006/relationships/hyperlink" Target="https://www.pagesjaunes.fr/annuaire/departement/hauts-de-seine-92/vente-de-carrelages-dallages" TargetMode="External" Id="rId75"/><Relationship Type="http://schemas.openxmlformats.org/officeDocument/2006/relationships/hyperlink" Target="https://www.sauvaje.fr/" TargetMode="External" Id="rId76"/><Relationship Type="http://schemas.openxmlformats.org/officeDocument/2006/relationships/hyperlink" Target="https://www.sauvaje.fr/paysagiste-saint-cloud" TargetMode="External" Id="rId77"/><Relationship Type="http://schemas.openxmlformats.org/officeDocument/2006/relationships/hyperlink" Target="https://negoce.france-materiaux.fr/369-societe-nouvelle-nmc" TargetMode="External" Id="rId78"/><Relationship Type="http://schemas.openxmlformats.org/officeDocument/2006/relationships/hyperlink" Target="https://negoce.france-materiaux.fr/369-societe-nouvelle-nmc" TargetMode="External" Id="rId79"/><Relationship Type="http://schemas.openxmlformats.org/officeDocument/2006/relationships/hyperlink" Target="https://travaux.obat.fr/amenagements-exterieurs/normandie" TargetMode="External" Id="rId80"/><Relationship Type="http://schemas.openxmlformats.org/officeDocument/2006/relationships/hyperlink" Target="https://www.architea.fr/architea-pays-auge-cote-fleurie/" TargetMode="External" Id="rId81"/><Relationship Type="http://schemas.openxmlformats.org/officeDocument/2006/relationships/hyperlink" Target="https://www.architea.fr/architea-pays-auge-cote-fleurie/" TargetMode="External" Id="rId82"/><Relationship Type="http://schemas.openxmlformats.org/officeDocument/2006/relationships/hyperlink" Target="https://www.arcytis.com/" TargetMode="External" Id="rId83"/><Relationship Type="http://schemas.openxmlformats.org/officeDocument/2006/relationships/hyperlink" Target="https://www.arcytis.com/" TargetMode="External" Id="rId84"/><Relationship Type="http://schemas.openxmlformats.org/officeDocument/2006/relationships/hyperlink" Target="https://www.argilesdecoration.com/" TargetMode="External" Id="rId85"/><Relationship Type="http://schemas.openxmlformats.org/officeDocument/2006/relationships/hyperlink" Target="https://www.houzz.fr/professionnels/artisan-et-entreprise-generale-de-batiment/argiles-decoration-pfvwfr-pf~256113164" TargetMode="External" Id="rId86"/><Relationship Type="http://schemas.openxmlformats.org/officeDocument/2006/relationships/hyperlink" Target="https://www.hemon-architectes.com/" TargetMode="External" Id="rId87"/><Relationship Type="http://schemas.openxmlformats.org/officeDocument/2006/relationships/hyperlink" Target="https://www.houzz.fr/professionnels/architecte/atelier-d-architecture-emmanuel-hemon-pfvwfr-pf~437994722" TargetMode="External" Id="rId88"/><Relationship Type="http://schemas.openxmlformats.org/officeDocument/2006/relationships/hyperlink" Target="https://atelierdelapierremarbreetgranits.site-solocal.com/" TargetMode="External" Id="rId89"/><Relationship Type="http://schemas.openxmlformats.org/officeDocument/2006/relationships/hyperlink" Target="https://atelierdelapierremarbreetgranits.site-solocal.com/" TargetMode="External" Id="rId90"/><Relationship Type="http://schemas.openxmlformats.org/officeDocument/2006/relationships/hyperlink" Target="https://barbedettepaysage.fr/" TargetMode="External" Id="rId91"/><Relationship Type="http://schemas.openxmlformats.org/officeDocument/2006/relationships/hyperlink" Target="https://www.118712.fr/professionnels/X0NXXVJXGQg" TargetMode="External" Id="rId92"/><Relationship Type="http://schemas.openxmlformats.org/officeDocument/2006/relationships/hyperlink" Target="https://www.pagesjaunes.fr/pros/60838606" TargetMode="External" Id="rId93"/><Relationship Type="http://schemas.openxmlformats.org/officeDocument/2006/relationships/hyperlink" Target="https://www.bienetreconfort.fr/" TargetMode="External" Id="rId94"/><Relationship Type="http://schemas.openxmlformats.org/officeDocument/2006/relationships/hyperlink" Target="https://www.bienetreconfort.fr/fr/nos-realisations/" TargetMode="External" Id="rId95"/><Relationship Type="http://schemas.openxmlformats.org/officeDocument/2006/relationships/hyperlink" Target="https://magasins.bigmat.fr/normandie/eure/ezy-sur-eure/bigmat-ezy-sur-eure-guillot-et-cie-146" TargetMode="External" Id="rId96"/><Relationship Type="http://schemas.openxmlformats.org/officeDocument/2006/relationships/hyperlink" Target="https://www.bohinjardin.fr/" TargetMode="External" Id="rId97"/><Relationship Type="http://schemas.openxmlformats.org/officeDocument/2006/relationships/hyperlink" Target="https://www.bohinjardin.fr/activites-constructeur+de+piscine+beton+haut+de+gamme+en+normandie+pres+de+chez+moi-210" TargetMode="External" Id="rId98"/><Relationship Type="http://schemas.openxmlformats.org/officeDocument/2006/relationships/hyperlink" Target="https://www.pagesjaunes.fr/pros/54087106" TargetMode="External" Id="rId99"/><Relationship Type="http://schemas.openxmlformats.org/officeDocument/2006/relationships/hyperlink" Target="https://www.pagesjaunes.fr/pros/61986622" TargetMode="External" Id="rId100"/><Relationship Type="http://schemas.openxmlformats.org/officeDocument/2006/relationships/hyperlink" Target="https://www.conceptinterieurdeauville.com/" TargetMode="External" Id="rId101"/><Relationship Type="http://schemas.openxmlformats.org/officeDocument/2006/relationships/hyperlink" Target="https://www.conceptinterieurdeauville.com/" TargetMode="External" Id="rId102"/><Relationship Type="http://schemas.openxmlformats.org/officeDocument/2006/relationships/hyperlink" Target="https://www.piscines-delalande.fr/" TargetMode="External" Id="rId103"/><Relationship Type="http://schemas.openxmlformats.org/officeDocument/2006/relationships/hyperlink" Target="https://www.piscines-delalande.fr/local/pisciniste-normandie/pisciniste-caen/" TargetMode="External" Id="rId104"/><Relationship Type="http://schemas.openxmlformats.org/officeDocument/2006/relationships/hyperlink" Target="https://travaux.obat.fr/amenagements-exterieurs/normandie" TargetMode="External" Id="rId105"/><Relationship Type="http://schemas.openxmlformats.org/officeDocument/2006/relationships/hyperlink" Target="https://www.pagesjaunes.fr/pros/51658175" TargetMode="External" Id="rId106"/><Relationship Type="http://schemas.openxmlformats.org/officeDocument/2006/relationships/hyperlink" Target="https://www.frazzi.fr/" TargetMode="External" Id="rId107"/><Relationship Type="http://schemas.openxmlformats.org/officeDocument/2006/relationships/hyperlink" Target="https://www.118712.fr/professionnels/X0dYWVZWGQM" TargetMode="External" Id="rId108"/><Relationship Type="http://schemas.openxmlformats.org/officeDocument/2006/relationships/hyperlink" Target="https://www.pagesjaunes.fr/pros/53540225" TargetMode="External" Id="rId109"/><Relationship Type="http://schemas.openxmlformats.org/officeDocument/2006/relationships/hyperlink" Target="https://travaux.obat.fr/amenagements-exterieurs/normandie" TargetMode="External" Id="rId110"/><Relationship Type="http://schemas.openxmlformats.org/officeDocument/2006/relationships/hyperlink" Target="https://ginicarrelage.fr/" TargetMode="External" Id="rId111"/><Relationship Type="http://schemas.openxmlformats.org/officeDocument/2006/relationships/hyperlink" Target="https://ginicarrelage.fr/" TargetMode="External" Id="rId112"/><Relationship Type="http://schemas.openxmlformats.org/officeDocument/2006/relationships/hyperlink" Target="https://www.paysagiste-auberville.fr/" TargetMode="External" Id="rId113"/><Relationship Type="http://schemas.openxmlformats.org/officeDocument/2006/relationships/hyperlink" Target="https://www.houzz.fr/professionnels/paysagiste-et-architecte-paysagiste/guerin-parcs-et-jardins-pfvwfr-pf~631281141" TargetMode="External" Id="rId114"/><Relationship Type="http://schemas.openxmlformats.org/officeDocument/2006/relationships/hyperlink" Target="https://travaux.obat.fr/amenagements-exterieurs/normandie" TargetMode="External" Id="rId115"/><Relationship Type="http://schemas.openxmlformats.org/officeDocument/2006/relationships/hyperlink" Target="https://granits-materiaux.fr/" TargetMode="External" Id="rId116"/><Relationship Type="http://schemas.openxmlformats.org/officeDocument/2006/relationships/hyperlink" Target="https://granits-materiaux.fr/" TargetMode="External" Id="rId117"/><Relationship Type="http://schemas.openxmlformats.org/officeDocument/2006/relationships/hyperlink" Target="https://www.honnetconstructions.fr/" TargetMode="External" Id="rId118"/><Relationship Type="http://schemas.openxmlformats.org/officeDocument/2006/relationships/hyperlink" Target="https://www.honnetconstructions.fr/" TargetMode="External" Id="rId119"/><Relationship Type="http://schemas.openxmlformats.org/officeDocument/2006/relationships/hyperlink" Target="https://www.jardinpassions.fr/" TargetMode="External" Id="rId120"/><Relationship Type="http://schemas.openxmlformats.org/officeDocument/2006/relationships/hyperlink" Target="https://www.jardinpassions.fr/construction-piscine-rouen/" TargetMode="External" Id="rId121"/><Relationship Type="http://schemas.openxmlformats.org/officeDocument/2006/relationships/hyperlink" Target="https://www.la-roche-taillee.fr/" TargetMode="External" Id="rId122"/><Relationship Type="http://schemas.openxmlformats.org/officeDocument/2006/relationships/hyperlink" Target="https://www.118712.fr/professionnels/X0JYXl5VHwU" TargetMode="External" Id="rId123"/><Relationship Type="http://schemas.openxmlformats.org/officeDocument/2006/relationships/hyperlink" Target="https://www.larcher.fr/" TargetMode="External" Id="rId124"/><Relationship Type="http://schemas.openxmlformats.org/officeDocument/2006/relationships/hyperlink" Target="https://www.esprit-piscine.fr/larcher-piscines/" TargetMode="External" Id="rId125"/><Relationship Type="http://schemas.openxmlformats.org/officeDocument/2006/relationships/hyperlink" Target="https://www.lesdemeuresdeprovince.fr/" TargetMode="External" Id="rId126"/><Relationship Type="http://schemas.openxmlformats.org/officeDocument/2006/relationships/hyperlink" Target="https://www.houzz.fr/professionnels/constructeur-de-maison-et-promoteur/les-demeures-de-province-pfvwfr-pf~505283288" TargetMode="External" Id="rId127"/><Relationship Type="http://schemas.openxmlformats.org/officeDocument/2006/relationships/hyperlink" Target="https://www.lespiscinesmoreau.com/" TargetMode="External" Id="rId128"/><Relationship Type="http://schemas.openxmlformats.org/officeDocument/2006/relationships/hyperlink" Target="https://www.lespiscinesmoreau.com/" TargetMode="External" Id="rId129"/><Relationship Type="http://schemas.openxmlformats.org/officeDocument/2006/relationships/hyperlink" Target="https://travaux.obat.fr/amenagements-exterieurs/le-havre" TargetMode="External" Id="rId130"/><Relationship Type="http://schemas.openxmlformats.org/officeDocument/2006/relationships/hyperlink" Target="https://www.maillard.fr/magasins" TargetMode="External" Id="rId131"/><Relationship Type="http://schemas.openxmlformats.org/officeDocument/2006/relationships/hyperlink" Target="https://www.maillard.fr/magasins" TargetMode="External" Id="rId132"/><Relationship Type="http://schemas.openxmlformats.org/officeDocument/2006/relationships/hyperlink" Target="https://www.maisonslucas.fr/" TargetMode="External" Id="rId133"/><Relationship Type="http://schemas.openxmlformats.org/officeDocument/2006/relationships/hyperlink" Target="https://www.maisonslucas.fr/" TargetMode="External" Id="rId134"/><Relationship Type="http://schemas.openxmlformats.org/officeDocument/2006/relationships/hyperlink" Target="https://www.marbresettendances.com/" TargetMode="External" Id="rId135"/><Relationship Type="http://schemas.openxmlformats.org/officeDocument/2006/relationships/hyperlink" Target="https://www.marbresettendances.com/dallage-pierre-pxl-33.html" TargetMode="External" Id="rId136"/><Relationship Type="http://schemas.openxmlformats.org/officeDocument/2006/relationships/hyperlink" Target="https://www.pagesjaunes.fr/annuaire/departement/eure-27/pierres-naturelles" TargetMode="External" Id="rId137"/><Relationship Type="http://schemas.openxmlformats.org/officeDocument/2006/relationships/hyperlink" Target="https://www.pagesjaunes.fr/pros/08249892" TargetMode="External" Id="rId138"/><Relationship Type="http://schemas.openxmlformats.org/officeDocument/2006/relationships/hyperlink" Target="http://www.muretsol.fr/" TargetMode="External" Id="rId139"/><Relationship Type="http://schemas.openxmlformats.org/officeDocument/2006/relationships/hyperlink" Target="http://www.muretsol.fr/" TargetMode="External" Id="rId140"/><Relationship Type="http://schemas.openxmlformats.org/officeDocument/2006/relationships/hyperlink" Target="https://www.piolain-carrelage.fr/" TargetMode="External" Id="rId141"/><Relationship Type="http://schemas.openxmlformats.org/officeDocument/2006/relationships/hyperlink" Target="https://www.pagesjaunes.fr/pros/08983835" TargetMode="External" Id="rId142"/><Relationship Type="http://schemas.openxmlformats.org/officeDocument/2006/relationships/hyperlink" Target="https://www.piscines-de-france.fr/piscinistes/pisciniste-le-havre" TargetMode="External" Id="rId143"/><Relationship Type="http://schemas.openxmlformats.org/officeDocument/2006/relationships/hyperlink" Target="https://www.piscines-de-france.fr/piscinistes/pisciniste-le-havre" TargetMode="External" Id="rId144"/><Relationship Type="http://schemas.openxmlformats.org/officeDocument/2006/relationships/hyperlink" Target="https://www.piscinesetabrisnordouest.fr/" TargetMode="External" Id="rId145"/><Relationship Type="http://schemas.openxmlformats.org/officeDocument/2006/relationships/hyperlink" Target="https://www.piscinesetabrisnordouest.fr/" TargetMode="External" Id="rId146"/><Relationship Type="http://schemas.openxmlformats.org/officeDocument/2006/relationships/hyperlink" Target="https://www.rpay.fr/" TargetMode="External" Id="rId147"/><Relationship Type="http://schemas.openxmlformats.org/officeDocument/2006/relationships/hyperlink" Target="https://www.118712.fr/professionnels/WkRUXFBQHgY" TargetMode="External" Id="rId148"/><Relationship Type="http://schemas.openxmlformats.org/officeDocument/2006/relationships/hyperlink" Target="https://travaux.obat.fr/amenagements-exterieurs/normandie" TargetMode="External" Id="rId149"/><Relationship Type="http://schemas.openxmlformats.org/officeDocument/2006/relationships/hyperlink" Target="https://www.dumouchel.fr/" TargetMode="External" Id="rId150"/><Relationship Type="http://schemas.openxmlformats.org/officeDocument/2006/relationships/hyperlink" Target="https://www.dumouchel.fr/" TargetMode="External" Id="rId151"/><Relationship Type="http://schemas.openxmlformats.org/officeDocument/2006/relationships/hyperlink" Target="https://www.vma14.com/" TargetMode="External" Id="rId152"/><Relationship Type="http://schemas.openxmlformats.org/officeDocument/2006/relationships/hyperlink" Target="https://www.pagesjaunes.fr/pros/55400375" TargetMode="External" Id="rId153"/><Relationship Type="http://schemas.openxmlformats.org/officeDocument/2006/relationships/hyperlink" Target="https://www.vincent-locquet.fr/" TargetMode="External" Id="rId154"/><Relationship Type="http://schemas.openxmlformats.org/officeDocument/2006/relationships/hyperlink" Target="https://www.vincent-locquet.fr/" TargetMode="External" Id="rId155"/><Relationship Type="http://schemas.openxmlformats.org/officeDocument/2006/relationships/hyperlink" Target="https://www.volkaert-constructions.fr/" TargetMode="External" Id="rId156"/><Relationship Type="http://schemas.openxmlformats.org/officeDocument/2006/relationships/hyperlink" Target="https://www.volkaert-constructions.fr/" TargetMode="External" Id="rId157"/><Relationship Type="http://schemas.openxmlformats.org/officeDocument/2006/relationships/hyperlink" Target="https://yl-carrelage.fr/" TargetMode="External" Id="rId158"/><Relationship Type="http://schemas.openxmlformats.org/officeDocument/2006/relationships/hyperlink" Target="https://yl-carrelage.fr/hammam/" TargetMode="External" Id="rId159"/><Relationship Type="http://schemas.openxmlformats.org/officeDocument/2006/relationships/hyperlink" Target="https://agavepaysage.fr/" TargetMode="External" Id="rId160"/><Relationship Type="http://schemas.openxmlformats.org/officeDocument/2006/relationships/hyperlink" Target="https://agavepaysage.fr/creation-de-terrasse-a-paris-architecte-paysagiste/" TargetMode="External" Id="rId161"/><Relationship Type="http://schemas.openxmlformats.org/officeDocument/2006/relationships/hyperlink" Target="https://www.118712.fr/annuaire/departement/hauts-de-seine/entreprise-paysagiste" TargetMode="External" Id="rId162"/><Relationship Type="http://schemas.openxmlformats.org/officeDocument/2006/relationships/hyperlink" Target="https://www.118712.fr/annuaire/departement/hauts-de-seine/entreprise-paysagiste" TargetMode="External" Id="rId163"/><Relationship Type="http://schemas.openxmlformats.org/officeDocument/2006/relationships/hyperlink" Target="https://www.apisflorae.com/" TargetMode="External" Id="rId164"/><Relationship Type="http://schemas.openxmlformats.org/officeDocument/2006/relationships/hyperlink" Target="https://www.houzz.fr/professionnels/paysagiste-et-architecte-paysagiste/apis-florae-pfvwfr-pf~632846081" TargetMode="External" Id="rId165"/><Relationship Type="http://schemas.openxmlformats.org/officeDocument/2006/relationships/hyperlink" Target="https://aquagarden78.fr/" TargetMode="External" Id="rId166"/><Relationship Type="http://schemas.openxmlformats.org/officeDocument/2006/relationships/hyperlink" Target="https://aquagarden78.fr/" TargetMode="External" Id="rId167"/><Relationship Type="http://schemas.openxmlformats.org/officeDocument/2006/relationships/hyperlink" Target="https://www.architea.fr/architea-vallee-de-la-seine-ouest/" TargetMode="External" Id="rId168"/><Relationship Type="http://schemas.openxmlformats.org/officeDocument/2006/relationships/hyperlink" Target="https://www.architea.fr/architea-vallee-de-la-seine-ouest/amenagement-terrasse-yvelines/" TargetMode="External" Id="rId169"/><Relationship Type="http://schemas.openxmlformats.org/officeDocument/2006/relationships/hyperlink" Target="https://www.archivim.fr/" TargetMode="External" Id="rId170"/><Relationship Type="http://schemas.openxmlformats.org/officeDocument/2006/relationships/hyperlink" Target="https://www.archivim.fr/" TargetMode="External" Id="rId171"/><Relationship Type="http://schemas.openxmlformats.org/officeDocument/2006/relationships/hyperlink" Target="https://www.artdesjardins-zory.fr/" TargetMode="External" Id="rId172"/><Relationship Type="http://schemas.openxmlformats.org/officeDocument/2006/relationships/hyperlink" Target="https://www.artdesjardins-zory.fr/dallages-et-terrasses.htm" TargetMode="External" Id="rId173"/><Relationship Type="http://schemas.openxmlformats.org/officeDocument/2006/relationships/hyperlink" Target="https://www.atelier-concept-paysage.com/" TargetMode="External" Id="rId174"/><Relationship Type="http://schemas.openxmlformats.org/officeDocument/2006/relationships/hyperlink" Target="https://www.118712.fr/fiches/X0pZWlZSHAY" TargetMode="External" Id="rId175"/><Relationship Type="http://schemas.openxmlformats.org/officeDocument/2006/relationships/hyperlink" Target="https://www.118712.fr/annuaire/region/ile-de-france/grossiste-pierres-naturelles" TargetMode="External" Id="rId176"/><Relationship Type="http://schemas.openxmlformats.org/officeDocument/2006/relationships/hyperlink" Target="https://www.baticentre.fr/" TargetMode="External" Id="rId177"/><Relationship Type="http://schemas.openxmlformats.org/officeDocument/2006/relationships/hyperlink" Target="https://www.118712.fr/professionnels/X0JRV1NQGAY" TargetMode="External" Id="rId178"/><Relationship Type="http://schemas.openxmlformats.org/officeDocument/2006/relationships/hyperlink" Target="https://www.blocstone.com/" TargetMode="External" Id="rId179"/><Relationship Type="http://schemas.openxmlformats.org/officeDocument/2006/relationships/hyperlink" Target="https://www.118712.fr/professionnels/WkdWXlNTGgU" TargetMode="External" Id="rId180"/><Relationship Type="http://schemas.openxmlformats.org/officeDocument/2006/relationships/hyperlink" Target="https://ci-renovation-78.fr/" TargetMode="External" Id="rId181"/><Relationship Type="http://schemas.openxmlformats.org/officeDocument/2006/relationships/hyperlink" Target="https://ci-renovation-78.fr/entreprise-amenagement-construction-terrasse-yvelines/" TargetMode="External" Id="rId182"/><Relationship Type="http://schemas.openxmlformats.org/officeDocument/2006/relationships/hyperlink" Target="https://www.ceramica.fr/" TargetMode="External" Id="rId183"/><Relationship Type="http://schemas.openxmlformats.org/officeDocument/2006/relationships/hyperlink" Target="https://www.houzz.fr/professionnels/pierres-et-plans-de-travail/ceramica-fusaro-pfvwfr-pf~438485630" TargetMode="External" Id="rId184"/><Relationship Type="http://schemas.openxmlformats.org/officeDocument/2006/relationships/hyperlink" Target="https://www.voyages-d-affaires.com/en/crowne-plaza-marne-la-vallee/" TargetMode="External" Id="rId185"/><Relationship Type="http://schemas.openxmlformats.org/officeDocument/2006/relationships/hyperlink" Target="https://www.dps-france.fr/" TargetMode="External" Id="rId186"/><Relationship Type="http://schemas.openxmlformats.org/officeDocument/2006/relationships/hyperlink" Target="https://www.dps-france.fr/construction-hammam/" TargetMode="External" Id="rId187"/><Relationship Type="http://schemas.openxmlformats.org/officeDocument/2006/relationships/hyperlink" Target="https://www.diffazur.fr/en/?p=26192" TargetMode="External" Id="rId188"/><Relationship Type="http://schemas.openxmlformats.org/officeDocument/2006/relationships/hyperlink" Target="https://www.118712.fr/fiches/WkZQWFVTHAc" TargetMode="External" Id="rId189"/><Relationship Type="http://schemas.openxmlformats.org/officeDocument/2006/relationships/hyperlink" Target="https://edenvatinel.fr/" TargetMode="External" Id="rId190"/><Relationship Type="http://schemas.openxmlformats.org/officeDocument/2006/relationships/hyperlink" Target="https://edenvatinel.fr/" TargetMode="External" Id="rId191"/><Relationship Type="http://schemas.openxmlformats.org/officeDocument/2006/relationships/hyperlink" Target="https://www.carrelage-marbre-iledefrance.fr/" TargetMode="External" Id="rId192"/><Relationship Type="http://schemas.openxmlformats.org/officeDocument/2006/relationships/hyperlink" Target="https://www.carrelage-marbre-iledefrance.fr/" TargetMode="External" Id="rId193"/><Relationship Type="http://schemas.openxmlformats.org/officeDocument/2006/relationships/hyperlink" Target="https://www.kenny-entreprise.fr/" TargetMode="External" Id="rId194"/><Relationship Type="http://schemas.openxmlformats.org/officeDocument/2006/relationships/hyperlink" Target="https://www.118712.fr/professionnels/X0RWWFZWGgc" TargetMode="External" Id="rId195"/><Relationship Type="http://schemas.openxmlformats.org/officeDocument/2006/relationships/hyperlink" Target="https://www.118712.fr/professionnels/X0RUWlZUHgI" TargetMode="External" Id="rId196"/><Relationship Type="http://schemas.openxmlformats.org/officeDocument/2006/relationships/hyperlink" Target="https://www.ftp-services.fr/" TargetMode="External" Id="rId197"/><Relationship Type="http://schemas.openxmlformats.org/officeDocument/2006/relationships/hyperlink" Target="https://www.ftp-services.fr/notre-expertise/hammam-sauna/" TargetMode="External" Id="rId198"/><Relationship Type="http://schemas.openxmlformats.org/officeDocument/2006/relationships/hyperlink" Target="https://www.fontainepaysage.fr/" TargetMode="External" Id="rId199"/><Relationship Type="http://schemas.openxmlformats.org/officeDocument/2006/relationships/hyperlink" Target="https://www.fontainepaysage.fr/creation-terrasse.htm" TargetMode="External" Id="rId200"/><Relationship Type="http://schemas.openxmlformats.org/officeDocument/2006/relationships/hyperlink" Target="https://www.hotelsbarriere.com/fr/enghien-les-bains/le-grand-hotel.html" TargetMode="External" Id="rId201"/><Relationship Type="http://schemas.openxmlformats.org/officeDocument/2006/relationships/hyperlink" Target="https://www.hotelsbarriere.com/fr/enghien-les-bains/le-grand-hotel.html" TargetMode="External" Id="rId202"/><Relationship Type="http://schemas.openxmlformats.org/officeDocument/2006/relationships/hyperlink" Target="https://www.idoine-piscines.com/" TargetMode="External" Id="rId203"/><Relationship Type="http://schemas.openxmlformats.org/officeDocument/2006/relationships/hyperlink" Target="https://www.idoine-piscines.com/contact/" TargetMode="External" Id="rId204"/><Relationship Type="http://schemas.openxmlformats.org/officeDocument/2006/relationships/hyperlink" Target="https://www.idealpiscine.com/" TargetMode="External" Id="rId205"/><Relationship Type="http://schemas.openxmlformats.org/officeDocument/2006/relationships/hyperlink" Target="https://www.idealpiscine.com/" TargetMode="External" Id="rId206"/><Relationship Type="http://schemas.openxmlformats.org/officeDocument/2006/relationships/hyperlink" Target="https://www.jardins-et-ambiances.com/" TargetMode="External" Id="rId207"/><Relationship Type="http://schemas.openxmlformats.org/officeDocument/2006/relationships/hyperlink" Target="https://www.jardins-et-ambiances.com/actualite-paysagiste-a-rambouillet-78120-7616.html" TargetMode="External" Id="rId208"/><Relationship Type="http://schemas.openxmlformats.org/officeDocument/2006/relationships/hyperlink" Target="https://www.118712.fr/annuaire/departement/hauts-de-seine/entreprise-paysagiste" TargetMode="External" Id="rId209"/><Relationship Type="http://schemas.openxmlformats.org/officeDocument/2006/relationships/hyperlink" Target="https://www.kristech.fr/" TargetMode="External" Id="rId210"/><Relationship Type="http://schemas.openxmlformats.org/officeDocument/2006/relationships/hyperlink" Target="https://www.kristech.fr/piscine-sur-mesure-ile-de-france/" TargetMode="External" Id="rId211"/><Relationship Type="http://schemas.openxmlformats.org/officeDocument/2006/relationships/hyperlink" Target="https://l-esprit-au-vert-71b05.houzzsite.com/" TargetMode="External" Id="rId212"/><Relationship Type="http://schemas.openxmlformats.org/officeDocument/2006/relationships/hyperlink" Target="https://www.houzz.fr/professionnels/landscape-architects-et-landscape-designers/l-esprit-au-vert-pfvwfr-pf~882382241" TargetMode="External" Id="rId213"/><Relationship Type="http://schemas.openxmlformats.org/officeDocument/2006/relationships/hyperlink" Target="https://www.la-boutique-piscine-spa.fr/" TargetMode="External" Id="rId214"/><Relationship Type="http://schemas.openxmlformats.org/officeDocument/2006/relationships/hyperlink" Target="https://www.la-boutique-piscine-spa.fr/construction-piscine-creus&#233;e" TargetMode="External" Id="rId215"/><Relationship Type="http://schemas.openxmlformats.org/officeDocument/2006/relationships/hyperlink" Target="https://www.lesjardinsdechevreuse.fr/" TargetMode="External" Id="rId216"/><Relationship Type="http://schemas.openxmlformats.org/officeDocument/2006/relationships/hyperlink" Target="https://www.lesjardinsdechevreuse.fr/paysagiste-rambouillet/" TargetMode="External" Id="rId217"/><Relationship Type="http://schemas.openxmlformats.org/officeDocument/2006/relationships/hyperlink" Target="https://www.jardinsdejulien.com/" TargetMode="External" Id="rId218"/><Relationship Type="http://schemas.openxmlformats.org/officeDocument/2006/relationships/hyperlink" Target="https://www.jardinsdejulien.com/paysagiste-yvelines-78" TargetMode="External" Id="rId219"/><Relationship Type="http://schemas.openxmlformats.org/officeDocument/2006/relationships/hyperlink" Target="https://www.jardinsdelavallee.fr/" TargetMode="External" Id="rId220"/><Relationship Type="http://schemas.openxmlformats.org/officeDocument/2006/relationships/hyperlink" Target="https://www.jardinsdelavallee.fr/paysagiste-78/realisations-de-terrasse-en-yvelines" TargetMode="External" Id="rId221"/><Relationship Type="http://schemas.openxmlformats.org/officeDocument/2006/relationships/hyperlink" Target="https://www.118712.fr/annuaire/departement/hauts-de-seine/entreprise-paysagiste" TargetMode="External" Id="rId222"/><Relationship Type="http://schemas.openxmlformats.org/officeDocument/2006/relationships/hyperlink" Target="https://www.marbreriempg.paris/" TargetMode="External" Id="rId223"/><Relationship Type="http://schemas.openxmlformats.org/officeDocument/2006/relationships/hyperlink" Target="https://www.marbreriempg.paris/projets/dallages/" TargetMode="External" Id="rId224"/><Relationship Type="http://schemas.openxmlformats.org/officeDocument/2006/relationships/hyperlink" Target="https://www.maison-laborde.fr/" TargetMode="External" Id="rId225"/><Relationship Type="http://schemas.openxmlformats.org/officeDocument/2006/relationships/hyperlink" Target="https://www.houzz.fr/professionnels/artisan-et-entreprise-generale-de-batiment/maison-laborde-pfvwfr-pf~1925091950" TargetMode="External" Id="rId226"/><Relationship Type="http://schemas.openxmlformats.org/officeDocument/2006/relationships/hyperlink" Target="https://www.maisonsarchidesign.com/" TargetMode="External" Id="rId227"/><Relationship Type="http://schemas.openxmlformats.org/officeDocument/2006/relationships/hyperlink" Target="https://www.maisonsarchidesign.com/" TargetMode="External" Id="rId228"/><Relationship Type="http://schemas.openxmlformats.org/officeDocument/2006/relationships/hyperlink" Target="https://travaux.obat.fr/marbrier/ile-de-france" TargetMode="External" Id="rId229"/><Relationship Type="http://schemas.openxmlformats.org/officeDocument/2006/relationships/hyperlink" Target="https://www.118712.fr/professionnels/X0VWW15RGwk" TargetMode="External" Id="rId230"/><Relationship Type="http://schemas.openxmlformats.org/officeDocument/2006/relationships/hyperlink" Target="https://modernworks.fr/" TargetMode="External" Id="rId231"/><Relationship Type="http://schemas.openxmlformats.org/officeDocument/2006/relationships/hyperlink" Target="https://modernworks.fr/" TargetMode="External" Id="rId232"/><Relationship Type="http://schemas.openxmlformats.org/officeDocument/2006/relationships/hyperlink" Target="https://www.penseeaujardin.fr/" TargetMode="External" Id="rId233"/><Relationship Type="http://schemas.openxmlformats.org/officeDocument/2006/relationships/hyperlink" Target="https://www.penseeaujardin.fr/" TargetMode="External" Id="rId234"/><Relationship Type="http://schemas.openxmlformats.org/officeDocument/2006/relationships/hyperlink" Target="https://www.piscines-spas-iledefrance.fr/" TargetMode="External" Id="rId235"/><Relationship Type="http://schemas.openxmlformats.org/officeDocument/2006/relationships/hyperlink" Target="https://www.piscines-spas-iledefrance.fr/terrasse-et-plage" TargetMode="External" Id="rId236"/><Relationship Type="http://schemas.openxmlformats.org/officeDocument/2006/relationships/hyperlink" Target="https://planstone.fr/" TargetMode="External" Id="rId237"/><Relationship Type="http://schemas.openxmlformats.org/officeDocument/2006/relationships/hyperlink" Target="https://planstone.fr/" TargetMode="External" Id="rId238"/><Relationship Type="http://schemas.openxmlformats.org/officeDocument/2006/relationships/hyperlink" Target="https://www.marbrerie.com/" TargetMode="External" Id="rId239"/><Relationship Type="http://schemas.openxmlformats.org/officeDocument/2006/relationships/hyperlink" Target="https://www.marbrerie.com/" TargetMode="External" Id="rId240"/><Relationship Type="http://schemas.openxmlformats.org/officeDocument/2006/relationships/hyperlink" Target="https://www.118712.fr/professionnels/X0pXXlVUGQI" TargetMode="External" Id="rId241"/><Relationship Type="http://schemas.openxmlformats.org/officeDocument/2006/relationships/hyperlink" Target="https://www.socorebat-95.fr/" TargetMode="External" Id="rId242"/><Relationship Type="http://schemas.openxmlformats.org/officeDocument/2006/relationships/hyperlink" Target="https://www.socorebat-95.fr/Creation-Piscine-Beton-situe-Val-d-Oise/" TargetMode="External" Id="rId243"/><Relationship Type="http://schemas.openxmlformats.org/officeDocument/2006/relationships/hyperlink" Target="https://www.pagesjaunes.fr/annuaire/departement/yvelines-78/vente-de-carrelages-dallages" TargetMode="External" Id="rId244"/><Relationship Type="http://schemas.openxmlformats.org/officeDocument/2006/relationships/hyperlink" Target="https://terrasseetjardindeparis.com/" TargetMode="External" Id="rId245"/><Relationship Type="http://schemas.openxmlformats.org/officeDocument/2006/relationships/hyperlink" Target="https://terrasseetjardindeparis.com/paysagiste/toit-terrasse/" TargetMode="External" Id="rId246"/><Relationship Type="http://schemas.openxmlformats.org/officeDocument/2006/relationships/hyperlink" Target="https://www.triomphe-home.fr/" TargetMode="External" Id="rId247"/><Relationship Type="http://schemas.openxmlformats.org/officeDocument/2006/relationships/hyperlink" Target="https://www.118712.fr/professionnels/WktRV1NWHgA" TargetMode="External" Id="rId248"/><Relationship Type="http://schemas.openxmlformats.org/officeDocument/2006/relationships/hyperlink" Target="https://www.118712.fr/annuaire/departement/hauts-de-seine/entreprise-paysagiste" TargetMode="External" Id="rId249"/><Relationship Type="http://schemas.openxmlformats.org/officeDocument/2006/relationships/hyperlink" Target="https://www.118712.fr/annuaire/departement/hauts-de-seine/entreprise-paysagiste" TargetMode="External" Id="rId250"/><Relationship Type="http://schemas.openxmlformats.org/officeDocument/2006/relationships/hyperlink" Target="https://www.wildrenovation.fr/" TargetMode="External" Id="rId251"/><Relationship Type="http://schemas.openxmlformats.org/officeDocument/2006/relationships/hyperlink" Target="https://www.wildrenovation.fr/marbrier-paris" TargetMode="External" Id="rId252"/><Relationship Type="http://schemas.openxmlformats.org/officeDocument/2006/relationships/hyperlink" Target="https://www.yvelinestradition.fr/" TargetMode="External" Id="rId253"/><Relationship Type="http://schemas.openxmlformats.org/officeDocument/2006/relationships/hyperlink" Target="https://www.houzz.fr/professionnels/constructeur-de-maison-et-promoteur/yvelines-tradition-pfvwfr-pf~1386850034" TargetMode="External" Id="rId254"/><Relationship Type="http://schemas.openxmlformats.org/officeDocument/2006/relationships/hyperlink" Target="https://mmnk.fr/" TargetMode="External" Id="rId255"/><Relationship Type="http://schemas.openxmlformats.org/officeDocument/2006/relationships/hyperlink" Target="https://www.tendancehotellerie.fr/articles-breves/communique-de-presse/12442-article/transformation-de-deux-longeres-en-l-hotel-villa-gypsy-a-deauville" TargetMode="External" Id="rId256"/><Relationship Type="http://schemas.openxmlformats.org/officeDocument/2006/relationships/hyperlink" Target="https://www.act-mo.fr/" TargetMode="External" Id="rId257"/><Relationship Type="http://schemas.openxmlformats.org/officeDocument/2006/relationships/hyperlink" Target="https://www.houzz.fr/professionnels/architecte-d-interieur/act-creation-pfvwfr-pf~347062397" TargetMode="External" Id="rId258"/><Relationship Type="http://schemas.openxmlformats.org/officeDocument/2006/relationships/hyperlink" Target="https://www.houzz.fr/professionnels/artisan-et-entreprise-generale-de-batiment/alliance-2-pfvwfr-pf~1639266739" TargetMode="External" Id="rId259"/><Relationship Type="http://schemas.openxmlformats.org/officeDocument/2006/relationships/hyperlink" Target="https://www.pagesjaunes.fr/annuaire/region/normandie/fabrication-installation-de-saunas-hammams-spas?page=2" TargetMode="External" Id="rId260"/><Relationship Type="http://schemas.openxmlformats.org/officeDocument/2006/relationships/hyperlink" Target="https://www.118712.fr/annuaire/ville/le-havre-76/entreprise-paysagiste" TargetMode="External" Id="rId261"/><Relationship Type="http://schemas.openxmlformats.org/officeDocument/2006/relationships/hyperlink" Target="https://www.ec3s.fr/" TargetMode="External" Id="rId262"/><Relationship Type="http://schemas.openxmlformats.org/officeDocument/2006/relationships/hyperlink" Target="https://www.houzz.fr/hznb/professionnels/constructeur-de-maison-et-promoteur/ec3s-pfvwfr-pf~2117411960" TargetMode="External" Id="rId263"/><Relationship Type="http://schemas.openxmlformats.org/officeDocument/2006/relationships/hyperlink" Target="https://www.118712.fr/annuaire/ville/lisieux-14/entreprise-paysagiste" TargetMode="External" Id="rId264"/><Relationship Type="http://schemas.openxmlformats.org/officeDocument/2006/relationships/hyperlink" Target="https://www.gueudry.fr/" TargetMode="External" Id="rId265"/><Relationship Type="http://schemas.openxmlformats.org/officeDocument/2006/relationships/hyperlink" Target="https://www.gueudry.fr/constructeur-maison-eure/" TargetMode="External" Id="rId266"/><Relationship Type="http://schemas.openxmlformats.org/officeDocument/2006/relationships/hyperlink" Target="https://laurencevermontdecoration.fr/" TargetMode="External" Id="rId267"/><Relationship Type="http://schemas.openxmlformats.org/officeDocument/2006/relationships/hyperlink" Target="https://www.houzz.fr/professionnels/architecte-d-interieur/laurence-vermont-architecture-d-interieur-pfvwfr-pf~943474491" TargetMode="External" Id="rId268"/><Relationship Type="http://schemas.openxmlformats.org/officeDocument/2006/relationships/hyperlink" Target="https://masolution-habitat.fr/" TargetMode="External" Id="rId269"/><Relationship Type="http://schemas.openxmlformats.org/officeDocument/2006/relationships/hyperlink" Target="https://masolution-habitat.fr/amenagement-de-lhabitat/espace-bien-etre/" TargetMode="External" Id="rId270"/><Relationship Type="http://schemas.openxmlformats.org/officeDocument/2006/relationships/hyperlink" Target="https://www.piscines-magiline.fr/pisciniste-magasin-piscines/fr-normandie-eure-distributeur-piscines-magiline-ste-colombe-la-commanderie/" TargetMode="External" Id="rId271"/><Relationship Type="http://schemas.openxmlformats.org/officeDocument/2006/relationships/hyperlink" Target="https://www.socoren.com/" TargetMode="External" Id="rId272"/><Relationship Type="http://schemas.openxmlformats.org/officeDocument/2006/relationships/hyperlink" Target="https://www.socoren.com/constructeur-maisons-normandie/calvados/deauville" TargetMode="External" Id="rId273"/><Relationship Type="http://schemas.openxmlformats.org/officeDocument/2006/relationships/hyperlink" Target="https://www.118712.fr/annuaire/departement/calvados/agencement-magasin" TargetMode="External" Id="rId274"/><Relationship Type="http://schemas.openxmlformats.org/officeDocument/2006/relationships/hyperlink" Target="https://www.118000.fr/e_C0068560434" TargetMode="External" Id="rId275"/><Relationship Type="http://schemas.openxmlformats.org/officeDocument/2006/relationships/hyperlink" Target="https://rouen.mondial-piscine.eu/" TargetMode="External" Id="rId276"/><Relationship Type="http://schemas.openxmlformats.org/officeDocument/2006/relationships/hyperlink" Target="https://www.mondial-piscine.eu/trouver-un-concessionnaire/normandie-fr/seine-et-mer-piscines-rouen/" TargetMode="External" Id="rId277"/><Relationship Type="http://schemas.openxmlformats.org/officeDocument/2006/relationships/hyperlink" Target="https://abdecoration.fr/" TargetMode="External" Id="rId278"/><Relationship Type="http://schemas.openxmlformats.org/officeDocument/2006/relationships/hyperlink" Target="https://www.houzz.fr/professionnels/architecte-d-interieur/ab-decoration-pfvwfr-pf~1864789124" TargetMode="External" Id="rId279"/><Relationship Type="http://schemas.openxmlformats.org/officeDocument/2006/relationships/hyperlink" Target="https://www.houzz.fr/professionnels/architecte-d-interieur/studio-elc-design-pfvwfr-pf~1386316822" TargetMode="External" Id="rId280"/><Relationship Type="http://schemas.openxmlformats.org/officeDocument/2006/relationships/hyperlink" Target="https://tribehotels.com/en/france/cabourg/" TargetMode="External" Id="rId281"/><Relationship Type="http://schemas.openxmlformats.org/officeDocument/2006/relationships/hyperlink" Target="https://tribehotels.com/en/france/cabourg/" TargetMode="External" Id="rId282"/><Relationship Type="http://schemas.openxmlformats.org/officeDocument/2006/relationships/hyperlink" Target="https://terralia-immobilier.fr/" TargetMode="External" Id="rId283"/><Relationship Type="http://schemas.openxmlformats.org/officeDocument/2006/relationships/hyperlink" Target="https://terralia-immobilier.fr/promotion-immobiliere-a-deauville-la-vision-terralia-pour-construire-autrement/" TargetMode="External" Id="rId284"/><Relationship Type="http://schemas.openxmlformats.org/officeDocument/2006/relationships/hyperlink" Target="https://travaux.obat.fr/amenagements-exterieurs/normandie" TargetMode="External" Id="rId285"/><Relationship Type="http://schemas.openxmlformats.org/officeDocument/2006/relationships/hyperlink" Target="https://ynspir.com/" TargetMode="External" Id="rId286"/><Relationship Type="http://schemas.openxmlformats.org/officeDocument/2006/relationships/hyperlink" Target="https://ynspir.com/normandie/calvados/architecte-interieur-caen/" TargetMode="External" Id="rId287"/><Relationship Type="http://schemas.openxmlformats.org/officeDocument/2006/relationships/hyperlink" Target="https://www.eric-devaux.fr/" TargetMode="External" Id="rId288"/><Relationship Type="http://schemas.openxmlformats.org/officeDocument/2006/relationships/hyperlink" Target="https://www.eric-devaux.fr/piliers-de-portails-murets/pavage-sur-mesure-pierre-naturelle/" TargetMode="External" Id="rId289"/><Relationship Type="http://schemas.openxmlformats.org/officeDocument/2006/relationships/hyperlink" Target="https://www.118712.fr/annuaire/ville/colombes-92/entreprise-paysagiste" TargetMode="External" Id="rId290"/><Relationship Type="http://schemas.openxmlformats.org/officeDocument/2006/relationships/hyperlink" Target="https://www.antunesjardinage.fr/" TargetMode="External" Id="rId291"/><Relationship Type="http://schemas.openxmlformats.org/officeDocument/2006/relationships/hyperlink" Target="https://www.antunesjardinage.fr/paysagiste-rambouillet/" TargetMode="External" Id="rId292"/><Relationship Type="http://schemas.openxmlformats.org/officeDocument/2006/relationships/hyperlink" Target="https://www.aqua-system.fr/" TargetMode="External" Id="rId293"/><Relationship Type="http://schemas.openxmlformats.org/officeDocument/2006/relationships/hyperlink" Target="https://www.esprit-piscine.fr/aqua-system/" TargetMode="External" Id="rId294"/><Relationship Type="http://schemas.openxmlformats.org/officeDocument/2006/relationships/hyperlink" Target="https://www.pagesjaunes.fr/pros/55939098" TargetMode="External" Id="rId295"/><Relationship Type="http://schemas.openxmlformats.org/officeDocument/2006/relationships/hyperlink" Target="https://www.atelierceben.com/" TargetMode="External" Id="rId296"/><Relationship Type="http://schemas.openxmlformats.org/officeDocument/2006/relationships/hyperlink" Target="https://www.houzz.fr/professionnels/architecte-d-interieur/atelier-ceben-pfvwfr-pf~94433125" TargetMode="External" Id="rId297"/><Relationship Type="http://schemas.openxmlformats.org/officeDocument/2006/relationships/hyperlink" Target="https://travaux.obat.fr/pose-carrelage-dallage-exterieur/hauts-de-seine" TargetMode="External" Id="rId298"/><Relationship Type="http://schemas.openxmlformats.org/officeDocument/2006/relationships/hyperlink" Target="https://balcoon.fr/" TargetMode="External" Id="rId299"/><Relationship Type="http://schemas.openxmlformats.org/officeDocument/2006/relationships/hyperlink" Target="https://balcoon.fr/" TargetMode="External" Id="rId300"/><Relationship Type="http://schemas.openxmlformats.org/officeDocument/2006/relationships/hyperlink" Target="https://www.belmard-batiment.fr/" TargetMode="External" Id="rId301"/><Relationship Type="http://schemas.openxmlformats.org/officeDocument/2006/relationships/hyperlink" Target="https://www.belmard-batiment.fr/" TargetMode="External" Id="rId302"/><Relationship Type="http://schemas.openxmlformats.org/officeDocument/2006/relationships/hyperlink" Target="https://www.benebatti.fr/" TargetMode="External" Id="rId303"/><Relationship Type="http://schemas.openxmlformats.org/officeDocument/2006/relationships/hyperlink" Target="https://www.benebatti.fr/services/gros-oeuvre/extension-maison" TargetMode="External" Id="rId304"/><Relationship Type="http://schemas.openxmlformats.org/officeDocument/2006/relationships/hyperlink" Target="https://www.tendancehotellerie.fr/articles-breves/communique-de-presse/18305-article/d-b-interior-design-studio-devoile-son-dernier-projet-l-hotel-antares-a-honfleur" TargetMode="External" Id="rId305"/><Relationship Type="http://schemas.openxmlformats.org/officeDocument/2006/relationships/hyperlink" Target="https://duhamel-paysagiste.fr/" TargetMode="External" Id="rId306"/><Relationship Type="http://schemas.openxmlformats.org/officeDocument/2006/relationships/hyperlink" Target="https://duhamel-paysagiste.fr/maconnerie-paysagere-en-77-terrasses-murets-et-allees/" TargetMode="External" Id="rId307"/><Relationship Type="http://schemas.openxmlformats.org/officeDocument/2006/relationships/hyperlink" Target="https://www.francemaisons-idf.com/" TargetMode="External" Id="rId308"/><Relationship Type="http://schemas.openxmlformats.org/officeDocument/2006/relationships/hyperlink" Target="https://www.francemaisons-idf.com/" TargetMode="External" Id="rId309"/><Relationship Type="http://schemas.openxmlformats.org/officeDocument/2006/relationships/hyperlink" Target="https://www.franpierre-herblay.fr/" TargetMode="External" Id="rId310"/><Relationship Type="http://schemas.openxmlformats.org/officeDocument/2006/relationships/hyperlink" Target="https://www.franpierre-herblay.fr/" TargetMode="External" Id="rId311"/><Relationship Type="http://schemas.openxmlformats.org/officeDocument/2006/relationships/hyperlink" Target="https://www.henocquepiscines.fr/" TargetMode="External" Id="rId312"/><Relationship Type="http://schemas.openxmlformats.org/officeDocument/2006/relationships/hyperlink" Target="https://www.henocquepiscines.fr/" TargetMode="External" Id="rId313"/><Relationship Type="http://schemas.openxmlformats.org/officeDocument/2006/relationships/hyperlink" Target="https://www.jardinsdelorangerie.com/jardins-orangerie-montmorency" TargetMode="External" Id="rId314"/><Relationship Type="http://schemas.openxmlformats.org/officeDocument/2006/relationships/hyperlink" Target="https://www.118712.fr/professionnels/X0JQV1FSGAA" TargetMode="External" Id="rId315"/><Relationship Type="http://schemas.openxmlformats.org/officeDocument/2006/relationships/hyperlink" Target="https://www.118712.fr/annuaire/ville/le-chesnay-78/entreprise-paysagiste" TargetMode="External" Id="rId316"/><Relationship Type="http://schemas.openxmlformats.org/officeDocument/2006/relationships/hyperlink" Target="https://www.mersi-architecture.com/" TargetMode="External" Id="rId317"/><Relationship Type="http://schemas.openxmlformats.org/officeDocument/2006/relationships/hyperlink" Target="https://www.mersi-architecture.com/" TargetMode="External" Id="rId318"/><Relationship Type="http://schemas.openxmlformats.org/officeDocument/2006/relationships/hyperlink" Target="https://www.serge-gautier.com/" TargetMode="External" Id="rId319"/><Relationship Type="http://schemas.openxmlformats.org/officeDocument/2006/relationships/hyperlink" Target="https://www.serge-gautier.com/" TargetMode="External" Id="rId320"/><Relationship Type="http://schemas.openxmlformats.org/officeDocument/2006/relationships/hyperlink" Target="https://www.marbreriedevitry.fr/" TargetMode="External" Id="rId321"/><Relationship Type="http://schemas.openxmlformats.org/officeDocument/2006/relationships/hyperlink" Target="https://www.118712.fr/professionnels/X0JRV15RHwQ" TargetMode="External" Id="rId322"/><Relationship Type="http://schemas.openxmlformats.org/officeDocument/2006/relationships/hyperlink" Target="https://www.naturo-paysages.fr/" TargetMode="External" Id="rId323"/><Relationship Type="http://schemas.openxmlformats.org/officeDocument/2006/relationships/hyperlink" Target="https://www.naturo-paysages.fr/creation-de-terrasse-rambouillet.html" TargetMode="External" Id="rId324"/><Relationship Type="http://schemas.openxmlformats.org/officeDocument/2006/relationships/hyperlink" Target="https://www.oceapiscine.fr/" TargetMode="External" Id="rId325"/><Relationship Type="http://schemas.openxmlformats.org/officeDocument/2006/relationships/hyperlink" Target="https://www.oceapiscine.fr/" TargetMode="External" Id="rId326"/><Relationship Type="http://schemas.openxmlformats.org/officeDocument/2006/relationships/hyperlink" Target="https://www.118712.fr/annuaire/departement/essonne/grossiste-pierres-naturelles" TargetMode="External" Id="rId327"/><Relationship Type="http://schemas.openxmlformats.org/officeDocument/2006/relationships/hyperlink" Target="https://www.ops-ouestpiscines.fr/" TargetMode="External" Id="rId328"/><Relationship Type="http://schemas.openxmlformats.org/officeDocument/2006/relationships/hyperlink" Target="https://www.ops-ouestpiscines.fr/" TargetMode="External" Id="rId329"/><Relationship Type="http://schemas.openxmlformats.org/officeDocument/2006/relationships/hyperlink" Target="https://www.paysagiste-pro-vert.fr/" TargetMode="External" Id="rId330"/><Relationship Type="http://schemas.openxmlformats.org/officeDocument/2006/relationships/hyperlink" Target="https://www.paysagiste-pro-vert.fr/amenagement-paysager/" TargetMode="External" Id="rId331"/><Relationship Type="http://schemas.openxmlformats.org/officeDocument/2006/relationships/hyperlink" Target="https://real-marbre.com/" TargetMode="External" Id="rId332"/><Relationship Type="http://schemas.openxmlformats.org/officeDocument/2006/relationships/hyperlink" Target="https://real-marbre.com/" TargetMode="External" Id="rId333"/><Relationship Type="http://schemas.openxmlformats.org/officeDocument/2006/relationships/hyperlink" Target="https://www.118712.fr/annuaire/ville/croissy-sur-seine-78/entreprise-paysagiste" TargetMode="External" Id="rId334"/><Relationship Type="http://schemas.openxmlformats.org/officeDocument/2006/relationships/hyperlink" Target="https://www.118712.fr/fiches/WUBVWVNRHwg" TargetMode="External" Id="rId335"/><Relationship Type="http://schemas.openxmlformats.org/officeDocument/2006/relationships/hyperlink" Target="https://www.simonsonlandscape.com/" TargetMode="External" Id="rId336"/><Relationship Type="http://schemas.openxmlformats.org/officeDocument/2006/relationships/hyperlink" Target="https://www.houzz.fr/professionnels/paysagiste-et-architecte-paysagiste/simonson-landscape-concepteur-paysagiste-pfvwfr-pf~1923588718" TargetMode="External" Id="rId337"/><Relationship Type="http://schemas.openxmlformats.org/officeDocument/2006/relationships/hyperlink" Target="https://www.118712.fr/annuaire/ville/croissy-sur-seine-78/entreprise-paysagiste" TargetMode="External" Id="rId338"/><Relationship Type="http://schemas.openxmlformats.org/officeDocument/2006/relationships/hyperlink" Target="https://www.terrassesdesoliviers.com/" TargetMode="External" Id="rId339"/><Relationship Type="http://schemas.openxmlformats.org/officeDocument/2006/relationships/hyperlink" Target="https://www.terrassesdesoliviers.com/paysagiste-yvelines-amenagement-exterieur-de-qualite/" TargetMode="External" Id="rId340"/><Relationship Type="http://schemas.openxmlformats.org/officeDocument/2006/relationships/hyperlink" Target="https://www.stoneadd.com/Ataija-Creme-Limestone-Inquiry-PMR2026081701.htm" TargetMode="External" Id="rId341"/><Relationship Type="http://schemas.openxmlformats.org/officeDocument/2006/relationships/hyperlink" Target="https://www.stonecontact.com/products-12697/beaumaniere-limestone-slabs-tiles-france-beige-limestone" TargetMode="External" Id="rId342"/><Relationship Type="http://schemas.openxmlformats.org/officeDocument/2006/relationships/hyperlink" Target="https://www.stoneadd.com/Buy-Sunny-Marble-PMR2026051904.htm" TargetMode="External" Id="rId343"/><Relationship Type="http://schemas.openxmlformats.org/officeDocument/2006/relationships/hyperlink" Target="https://sourcing.alibaba.com/rfq_detail.htm?p=ID1GWxBTMS7v07rK-wOngWs9TE1kAhYg0bqpm4UmA9J6s1_qYPv2acIKUsbMY9mNZ8L&amp;language=de_DE" TargetMode="External" Id="rId344"/><Relationship Type="http://schemas.openxmlformats.org/officeDocument/2006/relationships/hyperlink" Target="https://www.stonecontact.com/products-300185/sinai-pearl-grey-limestone-slabs-tiles" TargetMode="External" Id="rId345"/><Relationship Type="http://schemas.openxmlformats.org/officeDocument/2006/relationships/hyperlink" Target="https://www.stonecontact.com/products-68547/beige-limestone-floor-tiles" TargetMode="External" Id="rId346"/><Relationship Type="http://schemas.openxmlformats.org/officeDocument/2006/relationships/hyperlink" Target="https://www.stoneadd.com/Beige-Travertine-KARAMAN-Inquiry-PMR2026032702.htm" TargetMode="External" Id="rId347"/><Relationship Type="http://schemas.openxmlformats.org/officeDocument/2006/relationships/hyperlink" Target="https://www.stoneadd.com/Buy-Crema-Marfil-tiles-305x305x1cm-Standard-Range-PMR2026041803.htm" TargetMode="External" Id="rId348"/><Relationship Type="http://schemas.openxmlformats.org/officeDocument/2006/relationships/hyperlink" Target="https://www.stoneadd.com/Buy-Moscato-Beige-Marble-PMR2026091204.htm" TargetMode="External" Id="rId349"/><Relationship Type="http://schemas.openxmlformats.org/officeDocument/2006/relationships/hyperlink" Target="https://www.stoneadd.com/Buy-Sinai-Pearl-Limestone-Stairs-and-Steps-PMR2026090902.htm" TargetMode="External" Id="rId350"/><Relationship Type="http://schemas.openxmlformats.org/officeDocument/2006/relationships/hyperlink" Target="https://www.stoneadd.com/Buy-THALA-BEIGE-Marbles-PMR2026082903.htm" TargetMode="External" Id="rId351"/><Relationship Type="http://schemas.openxmlformats.org/officeDocument/2006/relationships/hyperlink" Target="https://www.stoneadd.com/Buy-Turkey-Ivory-Travertine-Slab-PMR2026060501.htm" TargetMode="External" Id="rId352"/><Relationship Type="http://schemas.openxmlformats.org/officeDocument/2006/relationships/hyperlink" Target="https://www.stonecontact.com/buyers/from-france" TargetMode="External" Id="rId353"/><Relationship Type="http://schemas.openxmlformats.org/officeDocument/2006/relationships/hyperlink" Target="https://www.stonecontact.com/buyers/from-france" TargetMode="External" Id="rId354"/><Relationship Type="http://schemas.openxmlformats.org/officeDocument/2006/relationships/hyperlink" Target="https://www.stonecontact.com/buyers/from-ireland" TargetMode="External" Id="rId355"/><Relationship Type="http://schemas.openxmlformats.org/officeDocument/2006/relationships/hyperlink" Target="https://www.stonecontact.com/buyers/from-united-kingdom" TargetMode="External" Id="rId356"/><Relationship Type="http://schemas.openxmlformats.org/officeDocument/2006/relationships/hyperlink" Target="https://www.stonecontact.com/products-333197/dijon-limestone-honed-finish-floor-tiles" TargetMode="External" Id="rId357"/><Relationship Type="http://schemas.openxmlformats.org/officeDocument/2006/relationships/hyperlink" Target="https://www.stonecontact.com/products-198958/galala-beige" TargetMode="External" Id="rId358"/><Relationship Type="http://schemas.openxmlformats.org/officeDocument/2006/relationships/hyperlink" Target="https://www.stonecontact.com/quarries-880/galala-extra-galala-marble-quarry" TargetMode="External" Id="rId359"/><Relationship Type="http://schemas.openxmlformats.org/officeDocument/2006/relationships/hyperlink" Target="https://wap.stonecontact.com/buyers" TargetMode="External" Id="rId360"/><Relationship Type="http://schemas.openxmlformats.org/officeDocument/2006/relationships/hyperlink" Target="https://www.stoneadd.com/Marble-Slabs-Inquiry-PMR2026071504.htm" TargetMode="External" Id="rId361"/><Relationship Type="http://schemas.openxmlformats.org/officeDocument/2006/relationships/hyperlink" Target="https://www.stonecontact.com/sinai-pearl-limestone/s11040" TargetMode="External" Id="rId362"/><Relationship Type="http://schemas.openxmlformats.org/officeDocument/2006/relationships/hyperlink" Target="https://www.stonecontact.com/products-518617/sinai-pearl-limestone-tumbled-limestone-egyptian-limestone-supplier" TargetMode="External" Id="rId363"/><Relationship Type="http://schemas.openxmlformats.org/officeDocument/2006/relationships/hyperlink" Target="https://www.stonecontact.com/products-350300/sinai-pearl-limestone-tiles-slabs" TargetMode="External" Id="rId364"/><Relationship Type="http://schemas.openxmlformats.org/officeDocument/2006/relationships/hyperlink" Target="https://www.stonecontact.com/products-623866/sunny-menia-marble-slabs" TargetMode="External" Id="rId365"/><Relationship Type="http://schemas.openxmlformats.org/officeDocument/2006/relationships/hyperlink" Target="https://www.go4worldbusiness.com/buylead/view/1310070/wanted-:-marble.html" TargetMode="External" Id="rId366"/><Relationship Type="http://schemas.openxmlformats.org/officeDocument/2006/relationships/hyperlink" Target="https://www.go4worldbusiness.com/buylead/view/1307345/wanted-:-natural-stones-like-sandstone-limestone.html" TargetMode="External" Id="rId367"/><Relationship Type="http://schemas.openxmlformats.org/officeDocument/2006/relationships/hyperlink" Target="https://www.go4worldbusiness.com/buylead/view/1326481/wanted-:-stone-articles-like-marble-granite-limestone.html" TargetMode="External" Id="rId368"/><Relationship Type="http://schemas.openxmlformats.org/officeDocument/2006/relationships/hyperlink" Target="https://www.stonecontact.com/products-451263/westhill-limestone-honed-tiles" TargetMode="External" Id="rId369"/><Relationship Type="http://schemas.openxmlformats.org/officeDocument/2006/relationships/hyperlink" Target="https://www.stoneadd.com/Bulk-Inquiry---11000-M2-Beige-Marble-Slabs-60x120cmx2cm-EXW-Factory-PMR2026083105.htm" TargetMode="External" Id="rId370"/><Relationship Type="http://schemas.openxmlformats.org/officeDocument/2006/relationships/hyperlink" Target="https://www.stonecontact.com/buyers/from-france" TargetMode="External" Id="rId371"/><Relationship Type="http://schemas.openxmlformats.org/officeDocument/2006/relationships/hyperlink" Target="https://www.stonecontact.com/buyers/from-germany" TargetMode="External" Id="rId372"/><Relationship Type="http://schemas.openxmlformats.org/officeDocument/2006/relationships/hyperlink" Target="https://www.stonecontact.com/buyers/from-italy" TargetMode="External" Id="rId373"/><Relationship Type="http://schemas.openxmlformats.org/officeDocument/2006/relationships/hyperlink" Target="https://www.stonecontact.com/buyers/from-kuwait" TargetMode="External" Id="rId374"/><Relationship Type="http://schemas.openxmlformats.org/officeDocument/2006/relationships/hyperlink" Target="https://www.stonecontact.com/buyers/from-kuwait/3" TargetMode="External" Id="rId375"/><Relationship Type="http://schemas.openxmlformats.org/officeDocument/2006/relationships/hyperlink" Target="https://www.stonecontact.com/buyers/from-portugal" TargetMode="External" Id="rId376"/><Relationship Type="http://schemas.openxmlformats.org/officeDocument/2006/relationships/hyperlink" Target="https://wap.stonecontact.com/buyers/from-saudi-arabia" TargetMode="External" Id="rId377"/><Relationship Type="http://schemas.openxmlformats.org/officeDocument/2006/relationships/hyperlink" Target="https://www.stonecontact.com/buyers/from-united-states" TargetMode="External" Id="rId378"/><Relationship Type="http://schemas.openxmlformats.org/officeDocument/2006/relationships/hyperlink" Target="https://importer.tradekey.com/buyoffer/DEMANDE-PRIX-3631979.html" TargetMode="External" Id="rId379"/><Relationship Type="http://schemas.openxmlformats.org/officeDocument/2006/relationships/hyperlink" Target="https://sourcing.alibaba.com/rfq_detail.htm?p=ID1mx2QEP0mBJKIJ5WuzNS2lhhPeQ2Z7g7oBteXdq0V_zE01e3ObSdI1cHgsADRkl0Z" TargetMode="External" Id="rId380"/><Relationship Type="http://schemas.openxmlformats.org/officeDocument/2006/relationships/hyperlink" Target="https://importer.tradekey.com/buyoffer/Floor-Tiles-3751287.html" TargetMode="External" Id="rId381"/><Relationship Type="http://schemas.openxmlformats.org/officeDocument/2006/relationships/hyperlink" Target="https://wap.stonecontact.com/buyers/3" TargetMode="External" Id="rId382"/><Relationship Type="http://schemas.openxmlformats.org/officeDocument/2006/relationships/hyperlink" Target="https://www.stonecontact.com/buyers/natural-stone-category/from-qatar" TargetMode="External" Id="rId383"/><Relationship Type="http://schemas.openxmlformats.org/officeDocument/2006/relationships/hyperlink" Target="https://www.stoneadd.com/Request-sample-for-Limestone-Beige-Split-Face-PMR2026060805.htm" TargetMode="External" Id="rId384"/><Relationship Type="http://schemas.openxmlformats.org/officeDocument/2006/relationships/hyperlink" Target="https://www.stonecontact.com/products-37090/riyadh-limestone-tile" TargetMode="External" Id="rId385"/><Relationship Type="http://schemas.openxmlformats.org/officeDocument/2006/relationships/hyperlink" Target="https://www.stoneadd.com/Sunny-Beige-Marble-Tiles-Quotation-PMR2026050607.htm" TargetMode="External" Id="rId386"/><Relationship Type="http://schemas.openxmlformats.org/officeDocument/2006/relationships/hyperlink" Target="https://www.stonecontact.com/sunny-menia-marble/s16102" TargetMode="External" Id="rId387"/><Relationship Type="http://schemas.openxmlformats.org/officeDocument/2006/relationships/hyperlink" Target="https://www.go4worldbusiness.com/buylead/view/1321371/wanted-:-natural-stone-like-sandstone-limestone-natural-stones.html" TargetMode="External" Id="rId388"/><Relationship Type="http://schemas.openxmlformats.org/officeDocument/2006/relationships/hyperlink" Target="https://www.go4worldbusiness.com/buylead/view/1312297/wanted-:-natural-stones-like-sawn-and-tumbled-finish.html" TargetMode="External" Id="rId389"/><Relationship Type="http://schemas.openxmlformats.org/officeDocument/2006/relationships/hyperlink" Target="https://sourcing.alibaba.com/rfq_detail.htm?p=ID1adABLvEzsu6o4yd1AV2rLw-7yC-OBCuvjVUvrzKTXMlayqTHDf4MuMD6ULpWMfAM" TargetMode="External" Id="rId390"/><Relationship Type="http://schemas.openxmlformats.org/officeDocument/2006/relationships/hyperlink" Target="https://www.stonecontact.com/buyers/from-bahrain" TargetMode="External" Id="rId391"/><Relationship Type="http://schemas.openxmlformats.org/officeDocument/2006/relationships/hyperlink" Target="https://sourcing.alibaba.com/rfq_detail.htm?p=ID1pJdsiCA2tpueeEgzCFSeUy9Qxd5V4yw0QihC40BD3E3YwY2ZOklTKwOSMLKKJ8w0" TargetMode="External" Id="rId392"/></Relationships>
</file>

<file path=xl/worksheets/_rels/sheet3.xml.rels><Relationships xmlns="http://schemas.openxmlformats.org/package/2006/relationships"><Relationship Type="http://schemas.openxmlformats.org/officeDocument/2006/relationships/hyperlink" Target="https://assistance.leboncoin.info/hc/fr/articles/360000030600-Combien-co&#251;te-le-d&#233;p&#244;t-d-une-annonce-Pro" TargetMode="External" Id="rId1"/><Relationship Type="http://schemas.openxmlformats.org/officeDocument/2006/relationships/hyperlink" Target="https://business.google.com/fr/business-profile/" TargetMode="External" Id="rId2"/><Relationship Type="http://schemas.openxmlformats.org/officeDocument/2006/relationships/hyperlink" Target="https://www.houzz.fr/professionals/pierres-et-plans-de-travail/probr0-bo~t_12055" TargetMode="External" Id="rId3"/><Relationship Type="http://schemas.openxmlformats.org/officeDocument/2006/relationships/hyperlink" Target="https://www.pagesjaunes.fr/plusdeservices/gerer-ma-fiche-pagesjaunes" TargetMode="External" Id="rId4"/><Relationship Type="http://schemas.openxmlformats.org/officeDocument/2006/relationships/hyperlink" Target="https://www.vivastreet.com/maison-mode-bricolage-jardinage/fr" TargetMode="External" Id="rId5"/><Relationship Type="http://schemas.openxmlformats.org/officeDocument/2006/relationships/hyperlink" Target="https://www.facebook.com/policies_center/commerce" TargetMode="External" Id="rId6"/><Relationship Type="http://schemas.openxmlformats.org/officeDocument/2006/relationships/hyperlink" Target="https://www.forumconstruire.com/construire/forumrub-90-terrasse_en_dur_.php" TargetMode="External" Id="rId7"/><Relationship Type="http://schemas.openxmlformats.org/officeDocument/2006/relationships/hyperlink" Target="https://www.forumconstruire.com/construire/forumrub-174-allees_et_chemins.php" TargetMode="External" Id="rId8"/><Relationship Type="http://schemas.openxmlformats.org/officeDocument/2006/relationships/hyperlink" Target="https://www.forumconstruire.com/construire/forumrub-85-carrelage.php" TargetMode="External" Id="rId9"/><Relationship Type="http://schemas.openxmlformats.org/officeDocument/2006/relationships/hyperlink" Target="https://www.forumconstruire.com/construire/forum-43.php" TargetMode="External" Id="rId10"/><Relationship Type="http://schemas.openxmlformats.org/officeDocument/2006/relationships/hyperlink" Target="https://www.forumpiscine.com/forum/forumrub-21-terrasse.php" TargetMode="External" Id="rId11"/><Relationship Type="http://schemas.openxmlformats.org/officeDocument/2006/relationships/hyperlink" Target="https://www.forumpiscine.com/forum/forumrub-3-piscine_maconnee.php" TargetMode="External" Id="rId12"/><Relationship Type="http://schemas.openxmlformats.org/officeDocument/2006/relationships/hyperlink" Target="https://www.houzz.fr/discussions/amenagement-paysager" TargetMode="External" Id="rId13"/><Relationship Type="http://schemas.openxmlformats.org/officeDocument/2006/relationships/hyperlink" Target="https://achat.forumconstruire.com/" TargetMode="External" Id="rId14"/><Relationship Type="http://schemas.openxmlformats.org/officeDocument/2006/relationships/hyperlink" Target="https://www.foirederouen.fr/" TargetMode="External" Id="rId15"/><Relationship Type="http://schemas.openxmlformats.org/officeDocument/2006/relationships/hyperlink" Target="https://www.foiredeparis.fr/" TargetMode="External" Id="rId16"/><Relationship Type="http://schemas.openxmlformats.org/officeDocument/2006/relationships/hyperlink" Target="https://www.foiredecaen.fr/" TargetMode="External" Id="rId17"/><Relationship Type="http://schemas.openxmlformats.org/officeDocument/2006/relationships/hyperlink" Target="https://copropriete-habitat.com/" TargetMode="External" Id="rId18"/><Relationship Type="http://schemas.openxmlformats.org/officeDocument/2006/relationships/hyperlink" Target="https://support.google.com/google-ads/answer/2453995?hl=fr" TargetMode="External" Id="rId19"/><Relationship Type="http://schemas.openxmlformats.org/officeDocument/2006/relationships/hyperlink" Target="https://www.facebook.com/business/ads" TargetMode="External" Id="rId20"/><Relationship Type="http://schemas.openxmlformats.org/officeDocument/2006/relationships/hyperlink" Target="https://leboncoinpublicite.fr/nos-solutions/solutions-local-plus2/" TargetMode="External" Id="rId21"/><Relationship Type="http://schemas.openxmlformats.org/officeDocument/2006/relationships/hyperlink" Target="https://business.pinterest.com/fr/" TargetMode="External" Id="rId22"/><Relationship Type="http://schemas.openxmlformats.org/officeDocument/2006/relationships/hyperlink" Target="https://www.forumconstruire.com/societe/annoncer.php" TargetMode="External" Id="rId23"/><Relationship Type="http://schemas.openxmlformats.org/officeDocument/2006/relationships/hyperlink" Target="https://www.habitatpresto.com/pro" TargetMode="External" Id="rId24"/><Relationship Type="http://schemas.openxmlformats.org/officeDocument/2006/relationships/hyperlink" Target="https://leopro.fr/salon-maison-jardin-le-havre/" TargetMode="External" Id="rId25"/><Relationship Type="http://schemas.openxmlformats.org/officeDocument/2006/relationships/hyperlink" Target="https://leopro.fr/salon-maison-lisieux/" TargetMode="External" Id="rId26"/><Relationship Type="http://schemas.openxmlformats.org/officeDocument/2006/relationships/hyperlink" Target="https://leopro.fr/salon-habitat-dreux/" TargetMode="External" Id="rId27"/><Relationship Type="http://schemas.openxmlformats.org/officeDocument/2006/relationships/hyperlink" Target="https://www.salon-vivreautrement.com/exposer/" TargetMode="External" Id="rId28"/><Relationship Type="http://schemas.openxmlformats.org/officeDocument/2006/relationships/hyperlink" Target="https://www.chateaudesaintjeandebeauregard.com/" TargetMode="External" Id="rId29"/><Relationship Type="http://schemas.openxmlformats.org/officeDocument/2006/relationships/hyperlink" Target="https://www.ville-gennevilliers.fr/94/cadre-de-vie/economie-et-commerces/annuaire-des-entreprises.htm" TargetMode="External" Id="rId30"/><Relationship Type="http://schemas.openxmlformats.org/officeDocument/2006/relationships/hyperlink" Target="https://business.apple.com/" TargetMode="External" Id="rId31"/><Relationship Type="http://schemas.openxmlformats.org/officeDocument/2006/relationships/hyperlink" Target="https://www.guide-piscine.fr/pro/offres/offres-publicitaires.html" TargetMode="External" Id="rId32"/><Relationship Type="http://schemas.openxmlformats.org/officeDocument/2006/relationships/hyperlink" Target="https://www.allovoisins.com/pros" TargetMode="External" Id="rId33"/><Relationship Type="http://schemas.openxmlformats.org/officeDocument/2006/relationships/hyperlink" Target="https://annonces-pro.tendanceouest.com/" TargetMode="External" Id="rId34"/><Relationship Type="http://schemas.openxmlformats.org/officeDocument/2006/relationships/hyperlink" Target="https://www.regieouest.fr/contact/" TargetMode="External" Id="rId35"/><Relationship Type="http://schemas.openxmlformats.org/officeDocument/2006/relationships/hyperlink" Target="https://www.evasionfm.com/votre-publicite-sur-evasion" TargetMode="External" Id="rId36"/><Relationship Type="http://schemas.openxmlformats.org/officeDocument/2006/relationships/hyperlink" Target="https://patrimoinenormand.com/contact/" TargetMode="External" Id="rId37"/><Relationship Type="http://schemas.openxmlformats.org/officeDocument/2006/relationships/hyperlink" Target="https://www.mediaposte.fr/" TargetMode="External" Id="rId38"/><Relationship Type="http://schemas.openxmlformats.org/officeDocument/2006/relationships/hyperlink" Target="https://www.infonormandie.com/submit/" TargetMode="External" Id="rId39"/></Relationships>
</file>

<file path=xl/worksheets/_rels/sheet4.xml.rels><Relationships xmlns="http://schemas.openxmlformats.org/package/2006/relationships"><Relationship Type="http://schemas.openxmlformats.org/officeDocument/2006/relationships/hyperlink" Target="https://www.backacia.com/" TargetMode="External" Id="rId1"/><Relationship Type="http://schemas.openxmlformats.org/officeDocument/2006/relationships/hyperlink" Target="https://www.cycle-up.fr/" TargetMode="External" Id="rId2"/><Relationship Type="http://schemas.openxmlformats.org/officeDocument/2006/relationships/hyperlink" Target="https://www.boamp.fr/" TargetMode="External" Id="rId3"/><Relationship Type="http://schemas.openxmlformats.org/officeDocument/2006/relationships/hyperlink" Target="https://ted.europa.eu/fr/notice/39703-2026/pdf" TargetMode="External" Id="rId4"/><Relationship Type="http://schemas.openxmlformats.org/officeDocument/2006/relationships/hyperlink" Target="https://www.equiphotel.com/" TargetMode="External" Id="rId5"/><Relationship Type="http://schemas.openxmlformats.org/officeDocument/2006/relationships/hyperlink" Target="https://www.piscine-global.com/" TargetMode="External" Id="rId6"/><Relationship Type="http://schemas.openxmlformats.org/officeDocument/2006/relationships/hyperlink" Target="https://www.salondesmaires.com/" TargetMode="External" Id="rId7"/><Relationship Type="http://schemas.openxmlformats.org/officeDocument/2006/relationships/hyperlink" Target="https://www.paysalia.com/" TargetMode="External" Id="rId8"/><Relationship Type="http://schemas.openxmlformats.org/officeDocument/2006/relationships/hyperlink" Target="https://www.118712.fr/annuaire/region/ile-de-france/grossiste-pierres-naturelles" TargetMode="External" Id="rId9"/><Relationship Type="http://schemas.openxmlformats.org/officeDocument/2006/relationships/hyperlink" Target="https://www.sortiraparis.com/en/what-to-do-in-paris/shows-and-fairs/articles/307825-les-thermalies-2027-the-free-fair-of-water-and-well-being-at-the-carrousel-du-louvre" TargetMode="External" Id="rId10"/><Relationship Type="http://schemas.openxmlformats.org/officeDocument/2006/relationships/hyperlink" Target="https://www.trouville.fr/wp-content/uploads/2026/07/La-Mouette-N-19.pdf" TargetMode="External" Id="rId11"/><Relationship Type="http://schemas.openxmlformats.org/officeDocument/2006/relationships/hyperlink" Target="https://tradefest.io/en/event/simi-professional" TargetMode="External" Id="rId12"/><Relationship Type="http://schemas.openxmlformats.org/officeDocument/2006/relationships/hyperlink" Target="https://www.espace-aubade.fr/magasins/carrelage/val-d-oise.html" TargetMode="External" Id="rId13"/><Relationship Type="http://schemas.openxmlformats.org/officeDocument/2006/relationships/hyperlink" Target="https://www.gedimat.fr/magasins" TargetMode="External" Id="rId14"/><Relationship Type="http://schemas.openxmlformats.org/officeDocument/2006/relationships/hyperlink" Target="https://www.destockplus.com/nos-services.html" TargetMode="External" Id="rId15"/><Relationship Type="http://schemas.openxmlformats.org/officeDocument/2006/relationships/hyperlink" Target="https://www.stoneadd.com/requests.asp" TargetMode="External" Id="rId16"/><Relationship Type="http://schemas.openxmlformats.org/officeDocument/2006/relationships/hyperlink" Target="https://www.stonecontact.com/" TargetMode="External" Id="rId17"/><Relationship Type="http://schemas.openxmlformats.org/officeDocument/2006/relationships/hyperlink" Target="https://www.europages.fr/" TargetMode="External" Id="rId18"/><Relationship Type="http://schemas.openxmlformats.org/officeDocument/2006/relationships/hyperlink" Target="https://www.go4worldbusiness.com/pricing" TargetMode="External" Id="rId19"/><Relationship Type="http://schemas.openxmlformats.org/officeDocument/2006/relationships/hyperlink" Target="https://help.shopify.com/en/manual/online-sales-channels/agentic-storefronts/chatgpt" TargetMode="External" Id="rId20"/></Relationships>
</file>

<file path=xl/worksheets/_rels/sheet5.xml.rels><Relationships xmlns="http://schemas.openxmlformats.org/package/2006/relationships"><Relationship Type="http://schemas.openxmlformats.org/officeDocument/2006/relationships/hyperlink" Target="https://www.facebook.com/groups/tusaisquetuviensderouen/" TargetMode="External" Id="rId1"/><Relationship Type="http://schemas.openxmlformats.org/officeDocument/2006/relationships/hyperlink" Target="https://www.tendanceouest.com/actualite-291607-rouen-avec-plus-de-45-000-fans-cette-page-facebook-est-unique-a-rouen" TargetMode="External" Id="rId2"/><Relationship Type="http://schemas.openxmlformats.org/officeDocument/2006/relationships/hyperlink" Target="https://www.ici.fr/infos/insolite/facebook-avec-500-000-abonnes-fabien-tassel-connecte-les-normands-1565552960" TargetMode="External" Id="rId3"/><Relationship Type="http://schemas.openxmlformats.org/officeDocument/2006/relationships/hyperlink" Target="https://www.facebook.com/groups/tusaisquetuviensdecaen/" TargetMode="External" Id="rId4"/><Relationship Type="http://schemas.openxmlformats.org/officeDocument/2006/relationships/hyperlink" Target="https://www.ici.fr/infos/insolite/facebook-avec-500-000-abonnes-fabien-tassel-connecte-les-normands-1565552960" TargetMode="External" Id="rId5"/><Relationship Type="http://schemas.openxmlformats.org/officeDocument/2006/relationships/hyperlink" Target="https://www.facebook.com/groups/tsqtvdhavre/" TargetMode="External" Id="rId6"/><Relationship Type="http://schemas.openxmlformats.org/officeDocument/2006/relationships/hyperlink" Target="https://www.ici.fr/infos/insolite/facebook-avec-500-000-abonnes-fabien-tassel-connecte-les-normands-1565552960" TargetMode="External" Id="rId7"/><Relationship Type="http://schemas.openxmlformats.org/officeDocument/2006/relationships/hyperlink" Target="https://www.facebook.com/groups/tusaisquetuviensdevreux" TargetMode="External" Id="rId8"/><Relationship Type="http://schemas.openxmlformats.org/officeDocument/2006/relationships/hyperlink" Target="https://www.ici.fr/infos/insolite/facebook-avec-500-000-abonnes-fabien-tassel-connecte-les-normands-1565552960" TargetMode="External" Id="rId9"/><Relationship Type="http://schemas.openxmlformats.org/officeDocument/2006/relationships/hyperlink" Target="https://www.facebook.com/groups/tsqtvdlouviers/" TargetMode="External" Id="rId10"/><Relationship Type="http://schemas.openxmlformats.org/officeDocument/2006/relationships/hyperlink" Target="https://www.ici.fr/infos/insolite/facebook-avec-500-000-abonnes-fabien-tassel-connecte-les-normands-1565552960" TargetMode="External" Id="rId11"/><Relationship Type="http://schemas.openxmlformats.org/officeDocument/2006/relationships/hyperlink" Target="https://www.facebook.com/groups/tsqtvdbernay/" TargetMode="External" Id="rId12"/><Relationship Type="http://schemas.openxmlformats.org/officeDocument/2006/relationships/hyperlink" Target="https://www.ici.fr/infos/insolite/facebook-avec-500-000-abonnes-fabien-tassel-connecte-les-normands-1565552960" TargetMode="External" Id="rId13"/><Relationship Type="http://schemas.openxmlformats.org/officeDocument/2006/relationships/hyperlink" Target="https://www.facebook.com/groups/tsqtvdn/" TargetMode="External" Id="rId14"/><Relationship Type="http://schemas.openxmlformats.org/officeDocument/2006/relationships/hyperlink" Target="https://www.ici.fr/infos/insolite/facebook-avec-500-000-abonnes-fabien-tassel-connecte-les-normands-1565552960" TargetMode="External" Id="rId15"/><Relationship Type="http://schemas.openxmlformats.org/officeDocument/2006/relationships/hyperlink" Target="https://www.facebook.com/groups/226979384170433" TargetMode="External" Id="rId16"/><Relationship Type="http://schemas.openxmlformats.org/officeDocument/2006/relationships/hyperlink" Target="https://www.ici.fr/infos/insolite/facebook-avec-500-000-abonnes-fabien-tassel-connecte-les-normands-1565552960" TargetMode="External" Id="rId17"/><Relationship Type="http://schemas.openxmlformats.org/officeDocument/2006/relationships/hyperlink" Target="https://www.facebook.com/groups/tusaisquetuviensdefecamp" TargetMode="External" Id="rId18"/><Relationship Type="http://schemas.openxmlformats.org/officeDocument/2006/relationships/hyperlink" Target="https://www.ici.fr/infos/insolite/facebook-avec-500-000-abonnes-fabien-tassel-connecte-les-normands-1565552960" TargetMode="External" Id="rId19"/><Relationship Type="http://schemas.openxmlformats.org/officeDocument/2006/relationships/hyperlink" Target="https://www.facebook.com/groups/tusaisquetuviensdeyvetot" TargetMode="External" Id="rId20"/><Relationship Type="http://schemas.openxmlformats.org/officeDocument/2006/relationships/hyperlink" Target="https://www.ici.fr/infos/insolite/facebook-avec-500-000-abonnes-fabien-tassel-connecte-les-normands-1565552960" TargetMode="External" Id="rId21"/><Relationship Type="http://schemas.openxmlformats.org/officeDocument/2006/relationships/hyperlink" Target="https://www.facebook.com/groups/tusaisquetuviensdebarentin" TargetMode="External" Id="rId22"/><Relationship Type="http://schemas.openxmlformats.org/officeDocument/2006/relationships/hyperlink" Target="https://www.ici.fr/infos/insolite/facebook-avec-500-000-abonnes-fabien-tassel-connecte-les-normands-1565552960" TargetMode="External" Id="rId23"/><Relationship Type="http://schemas.openxmlformats.org/officeDocument/2006/relationships/hyperlink" Target="https://www.facebook.com/groups/tusaisquetuviensdebolbec" TargetMode="External" Id="rId24"/><Relationship Type="http://schemas.openxmlformats.org/officeDocument/2006/relationships/hyperlink" Target="https://www.ici.fr/infos/insolite/facebook-avec-500-000-abonnes-fabien-tassel-connecte-les-normands-1565552960" TargetMode="External" Id="rId25"/><Relationship Type="http://schemas.openxmlformats.org/officeDocument/2006/relationships/hyperlink" Target="https://www.facebook.com/groups/tusaisquetuviensdepavilly" TargetMode="External" Id="rId26"/><Relationship Type="http://schemas.openxmlformats.org/officeDocument/2006/relationships/hyperlink" Target="https://www.ici.fr/infos/insolite/facebook-avec-500-000-abonnes-fabien-tassel-connecte-les-normands-1565552960" TargetMode="External" Id="rId27"/><Relationship Type="http://schemas.openxmlformats.org/officeDocument/2006/relationships/hyperlink" Target="https://www.facebook.com/groups/tusaisquetuviensdelillebonne" TargetMode="External" Id="rId28"/><Relationship Type="http://schemas.openxmlformats.org/officeDocument/2006/relationships/hyperlink" Target="https://www.ici.fr/infos/insolite/facebook-avec-500-000-abonnes-fabien-tassel-connecte-les-normands-1565552960" TargetMode="External" Id="rId29"/><Relationship Type="http://schemas.openxmlformats.org/officeDocument/2006/relationships/hyperlink" Target="https://www.facebook.com/groups/tusaisquetuviensdendg" TargetMode="External" Id="rId30"/><Relationship Type="http://schemas.openxmlformats.org/officeDocument/2006/relationships/hyperlink" Target="https://www.ici.fr/infos/insolite/facebook-avec-500-000-abonnes-fabien-tassel-connecte-les-normands-1565552960" TargetMode="External" Id="rId31"/><Relationship Type="http://schemas.openxmlformats.org/officeDocument/2006/relationships/hyperlink" Target="https://www.facebook.com/groups/tusaisquetuviensdesaintromaindecolbosc/" TargetMode="External" Id="rId32"/><Relationship Type="http://schemas.openxmlformats.org/officeDocument/2006/relationships/hyperlink" Target="https://www.ici.fr/infos/insolite/facebook-avec-500-000-abonnes-fabien-tassel-connecte-les-normands-1565552960" TargetMode="External" Id="rId33"/><Relationship Type="http://schemas.openxmlformats.org/officeDocument/2006/relationships/hyperlink" Target="https://www.facebook.com/groups/1921959854590236" TargetMode="External" Id="rId34"/><Relationship Type="http://schemas.openxmlformats.org/officeDocument/2006/relationships/hyperlink" Target="https://www.ici.fr/emissions/les-solutions-de-valere-correard/20-ans-apres-la-proximite-reste-un-repere-sur-certains-groupes-facebook-8677537" TargetMode="External" Id="rId35"/><Relationship Type="http://schemas.openxmlformats.org/officeDocument/2006/relationships/hyperlink" Target="https://www.facebook.com/groups/71053733322/" TargetMode="External" Id="rId36"/><Relationship Type="http://schemas.openxmlformats.org/officeDocument/2006/relationships/hyperlink" Target="https://www.ici.fr/emissions/les-solutions-de-valere-correard/20-ans-apres-la-proximite-reste-un-repere-sur-certains-groupes-facebook-8677537" TargetMode="External" Id="rId37"/><Relationship Type="http://schemas.openxmlformats.org/officeDocument/2006/relationships/hyperlink" Target="https://www.facebook.com/groups/1355035407896695" TargetMode="External" Id="rId38"/><Relationship Type="http://schemas.openxmlformats.org/officeDocument/2006/relationships/hyperlink" Target="https://tool-advisor.fr/blog/groupe-facebook-entrepreneur/" TargetMode="External" Id="rId39"/></Relationships>
</file>

<file path=xl/worksheets/sheet1.xml><?xml version="1.0" encoding="utf-8"?>
<worksheet xmlns="http://schemas.openxmlformats.org/spreadsheetml/2006/main">
  <sheetPr filterMode="0">
    <outlinePr summaryBelow="1" summaryRight="1"/>
    <pageSetUpPr fitToPage="0"/>
  </sheetPr>
  <dimension ref="A1:D4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2" min="1" max="1"/>
    <col width="20" customWidth="1" style="12" min="2" max="2"/>
    <col width="70" customWidth="1" style="12" min="3" max="3"/>
    <col width="22" customWidth="1" style="12" min="4" max="4"/>
  </cols>
  <sheetData>
    <row r="1" ht="17.25" customHeight="1" s="13">
      <c r="A1" s="14" t="inlineStr">
        <is>
          <t>Clients potentiels MINYALA — au 13/10/2026</t>
        </is>
      </c>
    </row>
    <row r="2" ht="31.5" customHeight="1" s="13">
      <c r="A2" s="15" t="inlineStr">
        <is>
          <t>Photo à date, sans tarif professionnel : peut être partagée ou analysée (par exemple dans ChatGPT). Le suivi au jour le jour reste dans prospects-minyala.xlsx.</t>
        </is>
      </c>
    </row>
    <row r="4" ht="15" customHeight="1" s="13">
      <c r="A4" s="16" t="inlineStr">
        <is>
          <t>Clients potentiels</t>
        </is>
      </c>
    </row>
    <row r="5" ht="15" customHeight="1" s="13">
      <c r="A5" s="12" t="inlineStr">
        <is>
          <t>Total</t>
        </is>
      </c>
      <c r="B5" s="16">
        <f>COUNTA('Tous les clients'!E2:E400)</f>
        <v/>
      </c>
    </row>
    <row r="6" ht="15" customHeight="1" s="13">
      <c r="A6" s="12" t="inlineStr">
        <is>
          <t>Pros France — Île-de-France</t>
        </is>
      </c>
      <c r="B6" s="16">
        <f>COUNTIFS('Tous les clients'!B2:B400,"Pro France",'Tous les clients'!G2:G400,"Île-de-France")</f>
        <v/>
      </c>
    </row>
    <row r="7" ht="15" customHeight="1" s="13">
      <c r="A7" s="12" t="inlineStr">
        <is>
          <t>Pros France — Normandie</t>
        </is>
      </c>
      <c r="B7" s="16">
        <f>COUNTIFS('Tous les clients'!B2:B400,"Pro France",'Tous les clients'!G2:G400,"Normandie")</f>
        <v/>
      </c>
    </row>
    <row r="8" ht="15" customHeight="1" s="13">
      <c r="A8" s="12" t="inlineStr">
        <is>
          <t>Acheteurs export (demandes RFQ)</t>
        </is>
      </c>
      <c r="B8" s="16">
        <f>COUNTIF('Tous les clients'!B2:B400,"Acheteur export (RFQ)")</f>
        <v/>
      </c>
    </row>
    <row r="9" ht="15" customHeight="1" s="13">
      <c r="A9" s="12" t="inlineStr">
        <is>
          <t>Priorité 1</t>
        </is>
      </c>
      <c r="B9" s="16">
        <f>COUNTIF('Tous les clients'!C2:C400,1)</f>
        <v/>
      </c>
    </row>
    <row r="10" ht="15" customHeight="1" s="13">
      <c r="A10" s="12" t="inlineStr">
        <is>
          <t>Contactés (statut ≠ À contacter / À étudier)</t>
        </is>
      </c>
      <c r="B10" s="16">
        <f>COUNTA('Tous les clients'!L2:L400)-COUNTIF('Tous les clients'!L2:L400,"À contacter")-COUNTIF('Tous les clients'!L2:L400,"À étudier")</f>
        <v/>
      </c>
    </row>
    <row r="12" ht="15" customHeight="1" s="13">
      <c r="A12" s="16" t="inlineStr">
        <is>
          <t>Par type d'acheteur (pros France)</t>
        </is>
      </c>
    </row>
    <row r="13" ht="15" customHeight="1" s="13">
      <c r="A13" s="12" t="inlineStr">
        <is>
          <t>Paysagiste</t>
        </is>
      </c>
      <c r="B13" s="12">
        <f>COUNTIF('Tous les clients'!D2:D400,"Paysagiste")</f>
        <v/>
      </c>
    </row>
    <row r="14" ht="15" customHeight="1" s="13">
      <c r="A14" s="12" t="inlineStr">
        <is>
          <t>Pisciniste</t>
        </is>
      </c>
      <c r="B14" s="12">
        <f>COUNTIF('Tous les clients'!D2:D400,"Pisciniste")</f>
        <v/>
      </c>
    </row>
    <row r="15" ht="15" customHeight="1" s="13">
      <c r="A15" s="12" t="inlineStr">
        <is>
          <t>Négoce / revendeur</t>
        </is>
      </c>
      <c r="B15" s="12">
        <f>COUNTIF('Tous les clients'!D2:D400,"Négoce / revendeur")</f>
        <v/>
      </c>
    </row>
    <row r="16" ht="15" customHeight="1" s="13">
      <c r="A16" s="12" t="inlineStr">
        <is>
          <t>Showroom carrelage</t>
        </is>
      </c>
      <c r="B16" s="12">
        <f>COUNTIF('Tous les clients'!D2:D400,"Showroom carrelage")</f>
        <v/>
      </c>
    </row>
    <row r="17" ht="15" customHeight="1" s="13">
      <c r="A17" s="12" t="inlineStr">
        <is>
          <t>Marbrerie</t>
        </is>
      </c>
      <c r="B17" s="12">
        <f>COUNTIF('Tous les clients'!D2:D400,"Marbrerie")</f>
        <v/>
      </c>
    </row>
    <row r="18" ht="15" customHeight="1" s="13">
      <c r="A18" s="12" t="inlineStr">
        <is>
          <t>Carreleur / poseur pierre</t>
        </is>
      </c>
      <c r="B18" s="12">
        <f>COUNTIF('Tous les clients'!D2:D400,"Carreleur / poseur pierre")</f>
        <v/>
      </c>
    </row>
    <row r="19" ht="15" customHeight="1" s="13">
      <c r="A19" s="12" t="inlineStr">
        <is>
          <t>Rénovation haut de gamme</t>
        </is>
      </c>
      <c r="B19" s="12">
        <f>COUNTIF('Tous les clients'!D2:D400,"Rénovation haut de gamme")</f>
        <v/>
      </c>
    </row>
    <row r="20" ht="15" customHeight="1" s="13">
      <c r="A20" s="12" t="inlineStr">
        <is>
          <t>Constructeur de maisons</t>
        </is>
      </c>
      <c r="B20" s="12">
        <f>COUNTIF('Tous les clients'!D2:D400,"Constructeur de maisons")</f>
        <v/>
      </c>
    </row>
    <row r="21" ht="15" customHeight="1" s="13">
      <c r="A21" s="12" t="inlineStr">
        <is>
          <t>Architecte d'intérieur</t>
        </is>
      </c>
      <c r="B21" s="12">
        <f>COUNTIF('Tous les clients'!D2:D400,"Architecte d'intérieur")</f>
        <v/>
      </c>
    </row>
    <row r="22" ht="15" customHeight="1" s="13">
      <c r="A22" s="12" t="inlineStr">
        <is>
          <t>Spa / hammam</t>
        </is>
      </c>
      <c r="B22" s="12">
        <f>COUNTIF('Tous les clients'!D2:D400,"Spa / hammam")</f>
        <v/>
      </c>
    </row>
    <row r="23" ht="15" customHeight="1" s="13">
      <c r="A23" s="12" t="inlineStr">
        <is>
          <t>Maître d'œuvre</t>
        </is>
      </c>
      <c r="B23" s="12">
        <f>COUNTIF('Tous les clients'!D2:D400,"Maître d'œuvre")</f>
        <v/>
      </c>
    </row>
    <row r="24" ht="15" customHeight="1" s="13">
      <c r="A24" s="12" t="inlineStr">
        <is>
          <t>Jardinerie / matériaux paysage</t>
        </is>
      </c>
      <c r="B24" s="12">
        <f>COUNTIF('Tous les clients'!D2:D400,"Jardinerie / matériaux paysage")</f>
        <v/>
      </c>
    </row>
    <row r="25" ht="15" customHeight="1" s="13">
      <c r="A25" s="12" t="inlineStr">
        <is>
          <t>Hôtel / restaurant</t>
        </is>
      </c>
      <c r="B25" s="12">
        <f>COUNTIF('Tous les clients'!D2:D400,"Hôtel / restaurant")</f>
        <v/>
      </c>
    </row>
    <row r="26" ht="15" customHeight="1" s="13">
      <c r="A26" s="12" t="inlineStr">
        <is>
          <t>Architecte</t>
        </is>
      </c>
      <c r="B26" s="12">
        <f>COUNTIF('Tous les clients'!D2:D400,"Architecte")</f>
        <v/>
      </c>
    </row>
    <row r="27" ht="15" customHeight="1" s="13">
      <c r="A27" s="12" t="inlineStr">
        <is>
          <t>Promoteur</t>
        </is>
      </c>
      <c r="B27" s="12">
        <f>COUNTIF('Tous les clients'!D2:D400,"Promoteur")</f>
        <v/>
      </c>
    </row>
    <row r="28" ht="15" customHeight="1" s="13">
      <c r="A28" s="12" t="inlineStr">
        <is>
          <t>Salle de bains</t>
        </is>
      </c>
      <c r="B28" s="12">
        <f>COUNTIF('Tous les clients'!D2:D400,"Salle de bains")</f>
        <v/>
      </c>
    </row>
    <row r="29" ht="15" customHeight="1" s="13">
      <c r="A29" s="12" t="inlineStr">
        <is>
          <t>Entreprise bâtiment</t>
        </is>
      </c>
      <c r="B29" s="12">
        <f>COUNTIF('Tous les clients'!D2:D400,"Entreprise bâtiment")</f>
        <v/>
      </c>
    </row>
    <row r="30" ht="15" customHeight="1" s="13">
      <c r="A30" s="12" t="inlineStr">
        <is>
          <t>Travaux publics / VRD</t>
        </is>
      </c>
      <c r="B30" s="12">
        <f>COUNTIF('Tous les clients'!D2:D400,"Travaux publics / VRD")</f>
        <v/>
      </c>
    </row>
    <row r="32" ht="15" customHeight="1" s="13">
      <c r="A32" s="16" t="inlineStr">
        <is>
          <t>Canaux de vente — vérification au 13/10/2026</t>
        </is>
      </c>
    </row>
    <row r="33" ht="15" customHeight="1" s="13">
      <c r="A33" s="17" t="inlineStr">
        <is>
          <t>Canal</t>
        </is>
      </c>
      <c r="B33" s="17" t="inlineStr">
        <is>
          <t>Verdict</t>
        </is>
      </c>
      <c r="C33" s="17" t="inlineStr">
        <is>
          <t>Pourquoi</t>
        </is>
      </c>
      <c r="D33" s="17" t="inlineStr">
        <is>
          <t>Guide</t>
        </is>
      </c>
    </row>
    <row r="34" ht="41.25" customHeight="1" s="13">
      <c r="A34" s="15" t="inlineStr">
        <is>
          <t>Professionnels France (e-mail, téléphone, visite)</t>
        </is>
      </c>
      <c r="B34" s="18" t="inlineStr">
        <is>
          <t>OUI — priorité</t>
        </is>
      </c>
      <c r="C34" s="15" t="inlineStr">
        <is>
          <t>197 entreprises vérifiées (négoces, showrooms, marbreries, piscinistes, paysagistes…). Message prêt dans kit-de-vente.md, section 4. Autorisé si le message concerne leur métier, avec possibilité de refuser.</t>
        </is>
      </c>
      <c r="D34" s="15" t="inlineStr">
        <is>
          <t>kit-de-vente.md</t>
        </is>
      </c>
    </row>
    <row r="35" ht="41.25" customHeight="1" s="13">
      <c r="A35" s="15" t="inlineStr">
        <is>
          <t>Leboncoin (compte Pro)</t>
        </is>
      </c>
      <c r="B35" s="18" t="inlineStr">
        <is>
          <t>OUI — une annonce, après vraies photos et IDU</t>
        </is>
      </c>
      <c r="C35" s="15" t="inlineStr">
        <is>
          <t>Compte Pro gratuit, 50 dépôts offerts. Une annonce à Gennevilliers, lot de 25 m² à 875 €. Pas de lien vers la boutique ni de paiement en ligne Leboncoin pour l'instant (12 % de commission, 14 jours de rétractation).</t>
        </is>
      </c>
      <c r="D35" s="15" t="inlineStr">
        <is>
          <t>leboncoin.md</t>
        </is>
      </c>
    </row>
    <row r="36" ht="41.25" customHeight="1" s="13">
      <c r="A36" s="15" t="inlineStr">
        <is>
          <t>Facebook et Instagram</t>
        </is>
      </c>
      <c r="B36" s="18" t="inlineStr">
        <is>
          <t>OUI, après correction des CGV du site</t>
        </is>
      </c>
      <c r="C36" s="15" t="inlineStr">
        <is>
          <t>Page, publicités locales et groupes avec accord des admins. Publication Instagram prête (en attente de votre accord).</t>
        </is>
      </c>
      <c r="D36" s="15" t="inlineStr">
        <is>
          <t>facebook-instagram.md</t>
        </is>
      </c>
    </row>
    <row r="37" ht="27.75" customHeight="1" s="13">
      <c r="A37" s="15" t="inlineStr">
        <is>
          <t>Demandes RFQ (StoneAdd, StoneContact…)</t>
        </is>
      </c>
      <c r="B37" s="18" t="inlineStr">
        <is>
          <t>À étudier</t>
        </is>
      </c>
      <c r="C37" s="15" t="inlineStr">
        <is>
          <t>52 demandes d'acheteurs étrangers ; 5 à forte correspondance. Attention aux arnaques (avance de frais, faux justificatifs).</t>
        </is>
      </c>
      <c r="D37" s="15" t="inlineStr">
        <is>
          <t>rfq-kit.md</t>
        </is>
      </c>
    </row>
    <row r="38" ht="41.25" customHeight="1" s="13">
      <c r="A38" s="15" t="inlineStr">
        <is>
          <t>AlloVoisins</t>
        </is>
      </c>
      <c r="B38" s="18" t="inlineStr">
        <is>
          <t>NON (au plus l'essai gratuit)</t>
        </is>
      </c>
      <c r="C38" s="15" t="inlineStr">
        <is>
          <t>Compte pro gratuit : aucune réponse possible. Premier : 12 mois d'engagement, dès 29,99 €/mois ou 99,99 € HT/mois. Demandes locales = pose, pas achat de pierre.</t>
        </is>
      </c>
      <c r="D38" s="15" t="inlineStr">
        <is>
          <t>allovoisins.md</t>
        </is>
      </c>
    </row>
    <row r="39" ht="41.25" customHeight="1" s="13">
      <c r="A39" s="15" t="inlineStr">
        <is>
          <t>Amazon</t>
        </is>
      </c>
      <c r="B39" s="18" t="inlineStr">
        <is>
          <t>NON pour l'instant</t>
        </is>
      </c>
      <c r="C39" s="15" t="inlineStr">
        <is>
          <t>Lots de 25 m² (≈ 1,25 t) inadaptés : pas de retrait, livraison lourde sur invitation, commission de 13–15 % aussi sur le port ; il reste 8 à 19 €/m² HT contre 29 € en vente directe. Au mieux plus tard : un échantillon en colis.</t>
        </is>
      </c>
      <c r="D39" s="15" t="inlineStr">
        <is>
          <t>amazon.md</t>
        </is>
      </c>
    </row>
    <row r="40" ht="54.75" customHeight="1" s="13">
      <c r="A40" s="15" t="inlineStr">
        <is>
          <t>ChatGPT (via Shopify)</t>
        </is>
      </c>
      <c r="B40" s="18" t="inlineStr">
        <is>
          <t>NON pour l'instant</t>
        </is>
      </c>
      <c r="C40" s="15" t="inlineStr">
        <is>
          <t>Le canal ChatGPT de Shopify est réservé aux boutiques qui vendent aux États-Unis (achat via les IA : acheteurs américains seulement). Reste la visibilité gratuite dans les réponses de recherche de ChatGPT. À faire : masquer les produits « Acompte », remplir les CGV, ajouter des photos.</t>
        </is>
      </c>
      <c r="D40" s="15" t="n"/>
    </row>
    <row r="41" ht="27.75" customHeight="1" s="13">
      <c r="A41" s="15" t="inlineStr">
        <is>
          <t>ZIM (fret maritime)</t>
        </is>
      </c>
      <c r="B41" s="18" t="inlineStr">
        <is>
          <t>Import, pas un canal de vente</t>
        </is>
      </c>
      <c r="C41" s="15" t="inlineStr">
        <is>
          <t>Pour faire venir un conteneur Damiette → Le Havre : ≈ 450–485 m² par 20', droits 0 % avec EUR.1.</t>
        </is>
      </c>
      <c r="D41" s="15" t="inlineStr">
        <is>
          <t>fret-zim.md</t>
        </is>
      </c>
    </row>
    <row r="43" ht="15" customHeight="1" s="13">
      <c r="A43" s="16" t="inlineStr">
        <is>
          <t>À régler avant de vendre (tous canaux)</t>
        </is>
      </c>
    </row>
    <row r="44" ht="45" customHeight="1" s="13">
      <c r="A44" s="12" t="inlineStr">
        <is>
          <t>•</t>
        </is>
      </c>
      <c r="B44" s="15" t="inlineStr">
        <is>
          <t>Activité : vente de pierre déclarée au guichet unique le 13/09/2026 (formalité Y00280607979), pas encore visible au registre le 13/10/2026 : vérifier son statut et répondre à toute demande de régularisation. Déclarer aussi le dépôt de Gennevilliers et le nom de domaine pierredegypte.online.</t>
        </is>
      </c>
    </row>
    <row r="45" ht="45" customHeight="1" s="13">
      <c r="A45" s="12" t="inlineStr">
        <is>
          <t>•</t>
        </is>
      </c>
      <c r="B45" s="15" t="inlineStr">
        <is>
          <t>TVA : si franchise de TVA, remplacer « HT / TTC » par « TVA non applicable, art. 293 B du CGI » partout (prix public et tarif pro).</t>
        </is>
      </c>
    </row>
    <row r="46" ht="45" customHeight="1" s="13">
      <c r="A46" s="12" t="inlineStr">
        <is>
          <t>•</t>
        </is>
      </c>
      <c r="B46" s="15" t="inlineStr">
        <is>
          <t>Pose : seulement avec qualification de carreleur ET assurance décennale. Sinon : « pierre seule, pose par votre carreleur ».</t>
        </is>
      </c>
    </row>
    <row r="47" ht="45" customHeight="1" s="13">
      <c r="A47" s="12" t="inlineStr">
        <is>
          <t>•</t>
        </is>
      </c>
      <c r="B47" s="15" t="inlineStr">
        <is>
          <t>Filière REP des matériaux de construction : adhérer à un éco-organisme et obtenir l'IDU (demandé par Leboncoin, à mettre dans les CGV).</t>
        </is>
      </c>
    </row>
    <row r="48" ht="45" customHeight="1" s="13">
      <c r="A48" s="12" t="inlineStr">
        <is>
          <t>•</t>
        </is>
      </c>
      <c r="B48" s="15" t="inlineStr">
        <is>
          <t>Site : conditions de vente, rétractation (avec bouton de rétractation en ligne depuis le 19/06/2026), mentions légales et confidentialité en français avant d'envoyer des particuliers au paiement.</t>
        </is>
      </c>
    </row>
    <row r="49" ht="45" customHeight="1" s="13">
      <c r="A49" s="12" t="inlineStr">
        <is>
          <t>•</t>
        </is>
      </c>
      <c r="B49" s="15" t="inlineStr">
        <is>
          <t>Produit : vraies photos du stock ; déclaration des performances (DoP) et marquage CE à demander au fournisseur.</t>
        </is>
      </c>
    </row>
  </sheetData>
  <mergeCells count="7">
    <mergeCell ref="B45:D45"/>
    <mergeCell ref="B46:D46"/>
    <mergeCell ref="B49:D49"/>
    <mergeCell ref="B44:D44"/>
    <mergeCell ref="A2:D2"/>
    <mergeCell ref="B47:D47"/>
    <mergeCell ref="B48:D4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Q45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2" min="1" max="1"/>
    <col width="18" customWidth="1" style="12" min="2" max="2"/>
    <col width="9" customWidth="1" style="12" min="3" max="3"/>
    <col width="24" customWidth="1" style="12" min="4" max="4"/>
    <col width="34" customWidth="1" style="12" min="5" max="5"/>
    <col width="24" customWidth="1" style="12" min="6" max="6"/>
    <col width="13" customWidth="1" style="12" min="7" max="7"/>
    <col width="60" customWidth="1" style="12" min="8" max="8"/>
    <col width="22" customWidth="1" style="12" min="9" max="9"/>
    <col width="16" customWidth="1" style="12" min="10" max="10"/>
    <col width="10" customWidth="1" style="12" min="11" max="11"/>
    <col width="14" customWidth="1" style="12" min="12" max="12"/>
    <col width="13" customWidth="1" style="12" min="13" max="13"/>
    <col width="24" customWidth="1" style="12" min="14" max="14"/>
    <col width="40" customWidth="1" style="12" min="15" max="15"/>
    <col width="16" customWidth="1" style="12" min="16" max="16"/>
    <col width="30" customWidth="1" style="12" min="17" max="17"/>
  </cols>
  <sheetData>
    <row r="1" ht="27.75" customHeight="1" s="13">
      <c r="A1" s="19" t="inlineStr">
        <is>
          <t>N°</t>
        </is>
      </c>
      <c r="B1" s="19" t="inlineStr">
        <is>
          <t>Catégorie</t>
        </is>
      </c>
      <c r="C1" s="19" t="inlineStr">
        <is>
          <t>Priorité</t>
        </is>
      </c>
      <c r="D1" s="19" t="inlineStr">
        <is>
          <t>Type</t>
        </is>
      </c>
      <c r="E1" s="19" t="inlineStr">
        <is>
          <t>Entreprise ou demande</t>
        </is>
      </c>
      <c r="F1" s="19" t="inlineStr">
        <is>
          <t>Ville / pays</t>
        </is>
      </c>
      <c r="G1" s="19" t="inlineStr">
        <is>
          <t>Zone</t>
        </is>
      </c>
      <c r="H1" s="19" t="inlineStr">
        <is>
          <t>Pourquoi les contacter / ce qu'ils cherchent</t>
        </is>
      </c>
      <c r="I1" s="19" t="inlineStr">
        <is>
          <t>Site web</t>
        </is>
      </c>
      <c r="J1" s="19" t="inlineStr">
        <is>
          <t>Téléphone</t>
        </is>
      </c>
      <c r="K1" s="19" t="inlineStr">
        <is>
          <t>Source</t>
        </is>
      </c>
      <c r="L1" s="19" t="inlineStr">
        <is>
          <t>Statut</t>
        </is>
      </c>
      <c r="M1" s="19" t="inlineStr">
        <is>
          <t>Date du contact</t>
        </is>
      </c>
      <c r="N1" s="19" t="inlineStr">
        <is>
          <t>Prochaine action</t>
        </is>
      </c>
      <c r="O1" s="19" t="inlineStr">
        <is>
          <t>Notes</t>
        </is>
      </c>
      <c r="P1" s="19" t="inlineStr">
        <is>
          <t>Liste</t>
        </is>
      </c>
      <c r="Q1" s="17" t="inlineStr">
        <is>
          <t>E-mail (contact)</t>
        </is>
      </c>
    </row>
    <row r="2" ht="41.25" customHeight="1" s="13">
      <c r="A2" s="15" t="n">
        <v>1</v>
      </c>
      <c r="B2" s="15" t="inlineStr">
        <is>
          <t>Pro France</t>
        </is>
      </c>
      <c r="C2" s="15" t="n">
        <v>1</v>
      </c>
      <c r="D2" s="15" t="inlineStr">
        <is>
          <t>Jardinerie / matériaux paysage</t>
        </is>
      </c>
      <c r="E2" s="15" t="inlineStr">
        <is>
          <t>ABL Négoce</t>
        </is>
      </c>
      <c r="F2" s="15" t="inlineStr">
        <is>
          <t>Le Molay-Littry (14330)</t>
        </is>
      </c>
      <c r="G2" s="15" t="inlineStr">
        <is>
          <t>Normandie</t>
        </is>
      </c>
      <c r="H2" s="15" t="inlineStr">
        <is>
          <t>Négoce d'aménagement extérieur du Calvados qui vend déjà des pierres naturelles à des paysagistes, architectes et collectivités : il pourrait ajouter MINYALA à sa gamme.</t>
        </is>
      </c>
      <c r="I2" s="20" t="inlineStr">
        <is>
          <t>www.abl-negoce.fr</t>
        </is>
      </c>
      <c r="J2" s="15" t="inlineStr">
        <is>
          <t>02 31 22 96 12</t>
        </is>
      </c>
      <c r="K2" s="20" t="inlineStr">
        <is>
          <t>Voir</t>
        </is>
      </c>
      <c r="L2" s="21" t="inlineStr">
        <is>
          <t>Contacté</t>
        </is>
      </c>
      <c r="M2" s="21" t="inlineStr">
        <is>
          <t>12/10/2026</t>
        </is>
      </c>
      <c r="N2" s="21" t="inlineStr">
        <is>
          <t>Vérifier la réponse dans la boîte Hotmail d'envoi ; une seule relance (~19/10) si silence</t>
        </is>
      </c>
      <c r="O2" s="21" t="inlineStr">
        <is>
          <t>E-mail de prospection (tarif pro) du 12/10/2026 à 14:59 (copie reçue en INBOX).</t>
        </is>
      </c>
      <c r="P2" s="15" t="inlineStr">
        <is>
          <t>3e liste (12/10)</t>
        </is>
      </c>
      <c r="Q2" s="12" t="inlineStr">
        <is>
          <t>contact@ablnegoce.fr</t>
        </is>
      </c>
    </row>
    <row r="3" ht="41.25" customHeight="1" s="13">
      <c r="A3" s="15" t="n">
        <v>2</v>
      </c>
      <c r="B3" s="15" t="inlineStr">
        <is>
          <t>Pro France</t>
        </is>
      </c>
      <c r="C3" s="15" t="n">
        <v>1</v>
      </c>
      <c r="D3" s="15" t="inlineStr">
        <is>
          <t>Négoce / revendeur</t>
        </is>
      </c>
      <c r="E3" s="15" t="inlineStr">
        <is>
          <t>BigMat MVR Matériaux</t>
        </is>
      </c>
      <c r="F3" s="15" t="inlineStr">
        <is>
          <t>Évreux (27000)</t>
        </is>
      </c>
      <c r="G3" s="15" t="inlineStr">
        <is>
          <t>Normandie</t>
        </is>
      </c>
      <c r="H3" s="15" t="inlineStr">
        <is>
          <t>Ce négoce BigMat de 8 magasins dans l'Eure et en Seine-Maritime vend carrelages et dallages et peut acheter un lot de MINYALA pour tout son réseau.</t>
        </is>
      </c>
      <c r="I3" s="20" t="inlineStr">
        <is>
          <t>magasins.bigmat.fr/normandie/eure/evreux/bigmat-evreux-mvr-materiaux-144</t>
        </is>
      </c>
      <c r="J3" s="15" t="inlineStr">
        <is>
          <t>02 32 31 20 17</t>
        </is>
      </c>
      <c r="K3" s="20" t="inlineStr">
        <is>
          <t>Voir</t>
        </is>
      </c>
      <c r="L3" s="21" t="inlineStr">
        <is>
          <t>À contacter</t>
        </is>
      </c>
      <c r="M3" s="21" t="n"/>
      <c r="N3" s="21" t="n"/>
      <c r="O3" s="21" t="inlineStr">
        <is>
          <t>[13/10] Aucun e-mail publié : formulaire de la fiche magasin BigMat Évreux uniquement.</t>
        </is>
      </c>
      <c r="P3" s="15" t="inlineStr">
        <is>
          <t>2e liste (12/10)</t>
        </is>
      </c>
    </row>
    <row r="4" ht="41.25" customHeight="1" s="13">
      <c r="A4" s="15" t="n">
        <v>3</v>
      </c>
      <c r="B4" s="15" t="inlineStr">
        <is>
          <t>Pro France</t>
        </is>
      </c>
      <c r="C4" s="15" t="n">
        <v>1</v>
      </c>
      <c r="D4" s="15" t="inlineStr">
        <is>
          <t>Showroom carrelage</t>
        </is>
      </c>
      <c r="E4" s="15" t="inlineStr">
        <is>
          <t>Carrelages Dente</t>
        </is>
      </c>
      <c r="F4" s="15" t="inlineStr">
        <is>
          <t>Yvetot (76190)</t>
        </is>
      </c>
      <c r="G4" s="15" t="inlineStr">
        <is>
          <t>Normandie</t>
        </is>
      </c>
      <c r="H4" s="15" t="inlineStr">
        <is>
          <t>Spécialiste du carrelage à Yvetot depuis 1959, avec grand showroom, déstockage et pierres naturelles déjà en gamme : il pourrait acheter MINYALA en lot pour l'intérieur et la terrasse.</t>
        </is>
      </c>
      <c r="I4" s="20" t="inlineStr">
        <is>
          <t>www.carrelages-dente.fr</t>
        </is>
      </c>
      <c r="J4" s="15" t="inlineStr">
        <is>
          <t>02 35 56 87 87</t>
        </is>
      </c>
      <c r="K4" s="20" t="inlineStr">
        <is>
          <t>Voir</t>
        </is>
      </c>
      <c r="L4" s="21" t="inlineStr">
        <is>
          <t>Contacté</t>
        </is>
      </c>
      <c r="M4" s="21" t="inlineStr">
        <is>
          <t>12/10/2026</t>
        </is>
      </c>
      <c r="N4" s="21" t="inlineStr">
        <is>
          <t>Vérifier la réponse dans la boîte Hotmail d'envoi ; une seule relance (~19/10) si silence</t>
        </is>
      </c>
      <c r="O4" s="21" t="inlineStr">
        <is>
          <t>E-mail de prospection (tarif pro) du 12/10/2026 à 15:00 (copie reçue en SPAM).</t>
        </is>
      </c>
      <c r="P4" s="15" t="inlineStr">
        <is>
          <t>3e liste (12/10)</t>
        </is>
      </c>
      <c r="Q4" s="12" t="inlineStr">
        <is>
          <t>carrelagesdente@gmail.com</t>
        </is>
      </c>
    </row>
    <row r="5" ht="27.75" customHeight="1" s="13">
      <c r="A5" s="15" t="n">
        <v>4</v>
      </c>
      <c r="B5" s="15" t="inlineStr">
        <is>
          <t>Pro France</t>
        </is>
      </c>
      <c r="C5" s="15" t="n">
        <v>1</v>
      </c>
      <c r="D5" s="15" t="inlineStr">
        <is>
          <t>Négoce / revendeur</t>
        </is>
      </c>
      <c r="E5" s="15" t="inlineStr">
        <is>
          <t>Le Comptoir du Sol</t>
        </is>
      </c>
      <c r="F5" s="15" t="inlineStr">
        <is>
          <t>Rouen et Dieppe (siège 76370 Neuville-lès-Dieppe)</t>
        </is>
      </c>
      <c r="G5" s="15" t="inlineStr">
        <is>
          <t>Normandie</t>
        </is>
      </c>
      <c r="H5" s="15" t="inlineStr">
        <is>
          <t>Showrooms carrelage et dallage, dont pierre naturelle et dallage terrasse.</t>
        </is>
      </c>
      <c r="I5" s="15" t="n"/>
      <c r="J5" s="15" t="inlineStr">
        <is>
          <t>02 79 02 73 91</t>
        </is>
      </c>
      <c r="K5" s="20" t="inlineStr">
        <is>
          <t>Voir</t>
        </is>
      </c>
      <c r="L5" s="21" t="inlineStr">
        <is>
          <t>À contacter</t>
        </is>
      </c>
      <c r="M5" s="21" t="n"/>
      <c r="N5" s="21" t="inlineStr">
        <is>
          <t>Prochain contact depuis la boîte Gmail (pas Hotmail), après fusion du suivi</t>
        </is>
      </c>
      <c r="O5" s="21" t="inlineStr">
        <is>
          <t>Rapprochement du 13/10 (autre assistant) : dernier envoi rejeté (échec de remise) — à confirmer, puis trouver une autre adresse. | [13/10] Tentative depuis Hotmail rejetée EN SORTIE (5.7.520 : contenu classé spam par Microsoft) — message non remis ; l'adresse n'est pas forcément invalide. Prochain contact depuis la boîte Gmail, nouveau modèle, jamais depuis Hotmail.</t>
        </is>
      </c>
      <c r="P5" s="15" t="inlineStr">
        <is>
          <t>1re liste (08/10)</t>
        </is>
      </c>
      <c r="Q5" s="12" t="inlineStr">
        <is>
          <t>contact@lecomptoirdusol.com</t>
        </is>
      </c>
    </row>
    <row r="6" ht="41.25" customHeight="1" s="13">
      <c r="A6" s="15" t="n">
        <v>5</v>
      </c>
      <c r="B6" s="15" t="inlineStr">
        <is>
          <t>Pro France</t>
        </is>
      </c>
      <c r="C6" s="15" t="n">
        <v>1</v>
      </c>
      <c r="D6" s="15" t="inlineStr">
        <is>
          <t>Négoce / revendeur</t>
        </is>
      </c>
      <c r="E6" s="15" t="inlineStr">
        <is>
          <t>Le Monde de la Pierre</t>
        </is>
      </c>
      <c r="F6" s="15" t="inlineStr">
        <is>
          <t>Rolleville (76133)</t>
        </is>
      </c>
      <c r="G6" s="15" t="inlineStr">
        <is>
          <t>Normandie</t>
        </is>
      </c>
      <c r="H6" s="15" t="inlineStr">
        <is>
          <t>Ce négociant en pierre naturelle près du Havre fait aussi des dallages et des aménagements extérieurs : il peut racheter un lot de calcaire égyptien MINYALA.</t>
        </is>
      </c>
      <c r="I6" s="20" t="inlineStr">
        <is>
          <t>www.lemondedelapierre.fr</t>
        </is>
      </c>
      <c r="J6" s="15" t="inlineStr">
        <is>
          <t>02 35 53 15 31</t>
        </is>
      </c>
      <c r="K6" s="20" t="inlineStr">
        <is>
          <t>Voir</t>
        </is>
      </c>
      <c r="L6" s="21" t="inlineStr">
        <is>
          <t>Contacté</t>
        </is>
      </c>
      <c r="M6" s="21" t="inlineStr">
        <is>
          <t>12-13/10/2026</t>
        </is>
      </c>
      <c r="N6" s="21" t="inlineStr">
        <is>
          <t>Pas de relance avant le rapprochement de l'export Hotmail ; ensuite, contact depuis la boîte Gmail uniquement</t>
        </is>
      </c>
      <c r="O6" s="21" t="inlineStr">
        <is>
          <t>[13/10] Page contact (bureau) ; devis/atelier : deco@lemondedelapierre.fr. | [13/10 soir] Correctif : un envoi vers contact@lemondedelapierre.fr est recensé dans l'export de la boîte Hotmail (remise non confirmée, pas de copie Gmail) — ne plus compter « jamais contacté » ; date exacte à confirmer au rapprochement de l'export.</t>
        </is>
      </c>
      <c r="P6" s="15" t="inlineStr">
        <is>
          <t>2e liste (12/10)</t>
        </is>
      </c>
      <c r="Q6" s="12" t="inlineStr">
        <is>
          <t>contact@lemondedelapierre.fr</t>
        </is>
      </c>
    </row>
    <row r="7" ht="41.25" customHeight="1" s="13">
      <c r="A7" s="15" t="n">
        <v>6</v>
      </c>
      <c r="B7" s="15" t="inlineStr">
        <is>
          <t>Pro France</t>
        </is>
      </c>
      <c r="C7" s="15" t="n">
        <v>1</v>
      </c>
      <c r="D7" s="15" t="inlineStr">
        <is>
          <t>Négoce / revendeur</t>
        </is>
      </c>
      <c r="E7" s="15" t="inlineStr">
        <is>
          <t>Midi Carrelage</t>
        </is>
      </c>
      <c r="F7" s="15" t="inlineStr">
        <is>
          <t>Sotteville-lès-Rouen (76300)</t>
        </is>
      </c>
      <c r="G7" s="15" t="inlineStr">
        <is>
          <t>Normandie</t>
        </is>
      </c>
      <c r="H7" s="15" t="inlineStr">
        <is>
          <t>Spécialiste carrelage et salle de bains depuis plus de 30 ans, avec espace pro et showroom, qui vend déjà du dallage en pierre, il pourrait référencer MINYALA pour ses clients artisans et particuliers.</t>
        </is>
      </c>
      <c r="I7" s="20" t="inlineStr">
        <is>
          <t>www.midi-carrelage.fr</t>
        </is>
      </c>
      <c r="J7" s="15" t="inlineStr">
        <is>
          <t>02 35 65 27 40</t>
        </is>
      </c>
      <c r="K7" s="20" t="inlineStr">
        <is>
          <t>Voir</t>
        </is>
      </c>
      <c r="L7" s="21" t="inlineStr">
        <is>
          <t>À contacter</t>
        </is>
      </c>
      <c r="M7" s="21" t="n"/>
      <c r="N7" s="21" t="inlineStr">
        <is>
          <t>Prochain contact depuis la boîte Gmail (pas Hotmail), après fusion du suivi</t>
        </is>
      </c>
      <c r="O7" s="21" t="inlineStr">
        <is>
          <t>[13/10] Tentative depuis Hotmail rejetée EN SORTIE (5.7.520 : contenu classé spam par Microsoft) — message non remis ; l'adresse n'est pas forcément invalide. Prochain contact depuis la boîte Gmail, nouveau modèle, jamais depuis Hotmail.</t>
        </is>
      </c>
      <c r="P7" s="15" t="inlineStr">
        <is>
          <t>3e liste (12/10)</t>
        </is>
      </c>
      <c r="Q7" s="12" t="inlineStr">
        <is>
          <t>contact.midicarrelage@midicarrelage.fr</t>
        </is>
      </c>
    </row>
    <row r="8" ht="41.25" customHeight="1" s="13">
      <c r="A8" s="15" t="n">
        <v>7</v>
      </c>
      <c r="B8" s="15" t="inlineStr">
        <is>
          <t>Pro France</t>
        </is>
      </c>
      <c r="C8" s="15" t="n">
        <v>1</v>
      </c>
      <c r="D8" s="15" t="inlineStr">
        <is>
          <t>Showroom carrelage</t>
        </is>
      </c>
      <c r="E8" s="15" t="inlineStr">
        <is>
          <t>Nivault</t>
        </is>
      </c>
      <c r="F8" s="15" t="inlineStr">
        <is>
          <t>Bénouville (14970)</t>
        </is>
      </c>
      <c r="G8" s="15" t="inlineStr">
        <is>
          <t>Normandie</t>
        </is>
      </c>
      <c r="H8" s="15" t="inlineStr">
        <is>
          <t>Magasin de carrelage près de Caen avec un showroom de 1 000 m² et une offre de dalles de terrasse : il pourrait exposer et revendre MINYALA en intérieur et en extérieur.</t>
        </is>
      </c>
      <c r="I8" s="20" t="inlineStr">
        <is>
          <t>www.nivault.com</t>
        </is>
      </c>
      <c r="J8" s="15" t="inlineStr">
        <is>
          <t>02 31 46 12 34</t>
        </is>
      </c>
      <c r="K8" s="20" t="inlineStr">
        <is>
          <t>Voir</t>
        </is>
      </c>
      <c r="L8" s="21" t="inlineStr">
        <is>
          <t>Contacté</t>
        </is>
      </c>
      <c r="M8" s="21" t="inlineStr">
        <is>
          <t>12/10/2026</t>
        </is>
      </c>
      <c r="N8" s="21" t="inlineStr">
        <is>
          <t>Vérifier la réponse dans la boîte Hotmail d'envoi ; une seule relance (~19/10) si silence</t>
        </is>
      </c>
      <c r="O8" s="21" t="inlineStr">
        <is>
          <t>E-mail de prospection (tarif pro) du 12/10/2026 à 14:59 (copie reçue en SPAM).</t>
        </is>
      </c>
      <c r="P8" s="15" t="inlineStr">
        <is>
          <t>3e liste (12/10)</t>
        </is>
      </c>
      <c r="Q8" s="12" t="inlineStr">
        <is>
          <t>info@nivault.com</t>
        </is>
      </c>
    </row>
    <row r="9" ht="54.75" customHeight="1" s="13">
      <c r="A9" s="15" t="n">
        <v>8</v>
      </c>
      <c r="B9" s="15" t="inlineStr">
        <is>
          <t>Pro France</t>
        </is>
      </c>
      <c r="C9" s="15" t="n">
        <v>1</v>
      </c>
      <c r="D9" s="15" t="inlineStr">
        <is>
          <t>Paysagiste</t>
        </is>
      </c>
      <c r="E9" s="15" t="inlineStr">
        <is>
          <t>Paysages Conseil – Agence de Caen</t>
        </is>
      </c>
      <c r="F9" s="15" t="inlineStr">
        <is>
          <t>Caen (14000)</t>
        </is>
      </c>
      <c r="G9" s="15" t="inlineStr">
        <is>
          <t>Normandie</t>
        </is>
      </c>
      <c r="H9" s="15" t="inlineStr">
        <is>
          <t>Gros paysagiste normand (75 compagnons, plusieurs agences) qui réalise des terrasses en pierre naturelle et des aménagements autour des piscines et spas, MINYALA pourrait servir sur ses chantiers (usage à valider avec lui : finition, gel, glissance, humidité).</t>
        </is>
      </c>
      <c r="I9" s="20" t="inlineStr">
        <is>
          <t>www.paysagesconseil.fr/paysagiste-caen</t>
        </is>
      </c>
      <c r="J9" s="15" t="inlineStr">
        <is>
          <t>02 31 68 69 68</t>
        </is>
      </c>
      <c r="K9" s="20" t="inlineStr">
        <is>
          <t>Voir</t>
        </is>
      </c>
      <c r="L9" s="21" t="inlineStr">
        <is>
          <t>À contacter</t>
        </is>
      </c>
      <c r="M9" s="21" t="n"/>
      <c r="N9" s="21" t="n"/>
      <c r="O9" s="21" t="n"/>
      <c r="P9" s="15" t="inlineStr">
        <is>
          <t>3e liste (12/10)</t>
        </is>
      </c>
    </row>
    <row r="10" ht="41.25" customHeight="1" s="13">
      <c r="A10" s="15" t="n">
        <v>9</v>
      </c>
      <c r="B10" s="15" t="inlineStr">
        <is>
          <t>Pro France</t>
        </is>
      </c>
      <c r="C10" s="15" t="n">
        <v>1</v>
      </c>
      <c r="D10" s="15" t="inlineStr">
        <is>
          <t>Négoce / revendeur</t>
        </is>
      </c>
      <c r="E10" s="15" t="inlineStr">
        <is>
          <t>Pillaud Matériaux (agence de Caen)</t>
        </is>
      </c>
      <c r="F10" s="15" t="inlineStr">
        <is>
          <t>Cormelles-le-Royal (14123)</t>
        </is>
      </c>
      <c r="G10" s="15" t="inlineStr">
        <is>
          <t>Normandie</t>
        </is>
      </c>
      <c r="H10" s="15" t="inlineStr">
        <is>
          <t>Ce négoce de 29 agences, dont Caen, Le Havre, Lisieux et Pont-Audemer, vend déjà des dalles et pierres pour terrasses et peut prendre un lot entier de MINYALA.</t>
        </is>
      </c>
      <c r="I10" s="20" t="inlineStr">
        <is>
          <t>www.pillaud-materiaux.com</t>
        </is>
      </c>
      <c r="J10" s="15" t="inlineStr">
        <is>
          <t>02 31 82 44 35</t>
        </is>
      </c>
      <c r="K10" s="20" t="inlineStr">
        <is>
          <t>Voir</t>
        </is>
      </c>
      <c r="L10" s="21" t="inlineStr">
        <is>
          <t>À contacter</t>
        </is>
      </c>
      <c r="M10" s="21" t="n"/>
      <c r="N10" s="21" t="n"/>
      <c r="O10" s="21" t="inlineStr">
        <is>
          <t>[13/10] Page agence de Caen du site Pillaud.</t>
        </is>
      </c>
      <c r="P10" s="15" t="inlineStr">
        <is>
          <t>2e liste (12/10)</t>
        </is>
      </c>
      <c r="Q10" s="12" t="inlineStr">
        <is>
          <t>caen@pillaud.fr</t>
        </is>
      </c>
    </row>
    <row r="11" ht="41.25" customHeight="1" s="13">
      <c r="A11" s="15" t="n">
        <v>10</v>
      </c>
      <c r="B11" s="15" t="inlineStr">
        <is>
          <t>Pro France</t>
        </is>
      </c>
      <c r="C11" s="15" t="n">
        <v>1</v>
      </c>
      <c r="D11" s="15" t="inlineStr">
        <is>
          <t>Promoteur</t>
        </is>
      </c>
      <c r="E11" s="15" t="inlineStr">
        <is>
          <t>Sedelka</t>
        </is>
      </c>
      <c r="F11" s="15" t="inlineStr">
        <is>
          <t>Caen</t>
        </is>
      </c>
      <c r="G11" s="15" t="inlineStr">
        <is>
          <t>Normandie</t>
        </is>
      </c>
      <c r="H11" s="15" t="inlineStr">
        <is>
          <t>Promoteur avec un showroom dans chaque agence où les acquéreurs choisissent carrelage et parquet : MINYALA pourrait y entrer comme option de sol en pierre naturelle sur ses programmes normands.</t>
        </is>
      </c>
      <c r="I11" s="20" t="inlineStr">
        <is>
          <t>www.sedelka.fr</t>
        </is>
      </c>
      <c r="J11" s="15" t="inlineStr">
        <is>
          <t>02 31 08 34 88</t>
        </is>
      </c>
      <c r="K11" s="20" t="inlineStr">
        <is>
          <t>Voir</t>
        </is>
      </c>
      <c r="L11" s="21" t="inlineStr">
        <is>
          <t>À contacter</t>
        </is>
      </c>
      <c r="M11" s="21" t="n"/>
      <c r="N11" s="21" t="n"/>
      <c r="O11" s="21" t="n"/>
      <c r="P11" s="15" t="inlineStr">
        <is>
          <t>3e liste (12/10)</t>
        </is>
      </c>
    </row>
    <row r="12" ht="41.25" customHeight="1" s="13">
      <c r="A12" s="15" t="n">
        <v>11</v>
      </c>
      <c r="B12" s="15" t="inlineStr">
        <is>
          <t>Pro France</t>
        </is>
      </c>
      <c r="C12" s="15" t="n">
        <v>1</v>
      </c>
      <c r="D12" s="15" t="inlineStr">
        <is>
          <t>Négoce / revendeur</t>
        </is>
      </c>
      <c r="E12" s="15" t="inlineStr">
        <is>
          <t>Solmur (agence d'Évreux)</t>
        </is>
      </c>
      <c r="F12" s="15" t="inlineStr">
        <is>
          <t>Évreux (27000)</t>
        </is>
      </c>
      <c r="G12" s="15" t="inlineStr">
        <is>
          <t>Normandie</t>
        </is>
      </c>
      <c r="H12" s="15" t="inlineStr">
        <is>
          <t>Agence d'un distributeur régional de revêtements qui vend déjà carrelage extérieur et travertin : elle pourrait revendre MINYALA à Évreux et dans l'Eure.</t>
        </is>
      </c>
      <c r="I12" s="20" t="inlineStr">
        <is>
          <t>www.solmur.fr</t>
        </is>
      </c>
      <c r="J12" s="15" t="n"/>
      <c r="K12" s="20" t="inlineStr">
        <is>
          <t>Voir</t>
        </is>
      </c>
      <c r="L12" s="21" t="inlineStr">
        <is>
          <t>À contacter</t>
        </is>
      </c>
      <c r="M12" s="21" t="n"/>
      <c r="N12" s="21" t="n"/>
      <c r="O12" s="21" t="n"/>
      <c r="P12" s="15" t="inlineStr">
        <is>
          <t>3e liste (12/10)</t>
        </is>
      </c>
    </row>
    <row r="13" ht="41.25" customHeight="1" s="13">
      <c r="A13" s="15" t="n">
        <v>12</v>
      </c>
      <c r="B13" s="15" t="inlineStr">
        <is>
          <t>Pro France</t>
        </is>
      </c>
      <c r="C13" s="15" t="n">
        <v>1</v>
      </c>
      <c r="D13" s="15" t="inlineStr">
        <is>
          <t>Showroom carrelage</t>
        </is>
      </c>
      <c r="E13" s="15" t="inlineStr">
        <is>
          <t>Tendance Carrelage Rouen</t>
        </is>
      </c>
      <c r="F13" s="15" t="inlineStr">
        <is>
          <t>Rouen (76000)</t>
        </is>
      </c>
      <c r="G13" s="15" t="inlineStr">
        <is>
          <t>Normandie</t>
        </is>
      </c>
      <c r="H13" s="15" t="inlineStr">
        <is>
          <t>Showroom rouennais de carrelages et pierres naturelles qui vend déjà marbre et dalles de terrasse de 2 cm : il pourrait ajouter MINYALA à sa gamme pierre.</t>
        </is>
      </c>
      <c r="I13" s="20" t="inlineStr">
        <is>
          <t>www.tendancecarrelagesrouen.fr</t>
        </is>
      </c>
      <c r="J13" s="15" t="inlineStr">
        <is>
          <t>02 35 36 36 36</t>
        </is>
      </c>
      <c r="K13" s="20" t="inlineStr">
        <is>
          <t>Voir</t>
        </is>
      </c>
      <c r="L13" s="21" t="inlineStr">
        <is>
          <t>À contacter</t>
        </is>
      </c>
      <c r="M13" s="21" t="n"/>
      <c r="N13" s="21" t="n"/>
      <c r="O13" s="21" t="n"/>
      <c r="P13" s="15" t="inlineStr">
        <is>
          <t>3e liste (12/10)</t>
        </is>
      </c>
    </row>
    <row r="14" ht="41.25" customHeight="1" s="13">
      <c r="A14" s="15" t="n">
        <v>13</v>
      </c>
      <c r="B14" s="15" t="inlineStr">
        <is>
          <t>Pro France</t>
        </is>
      </c>
      <c r="C14" s="15" t="n">
        <v>1</v>
      </c>
      <c r="D14" s="15" t="inlineStr">
        <is>
          <t>Showroom carrelage</t>
        </is>
      </c>
      <c r="E14" s="15" t="inlineStr">
        <is>
          <t>Torchio (showroom Caen/Ifs)</t>
        </is>
      </c>
      <c r="F14" s="15" t="inlineStr">
        <is>
          <t>Ifs (14123)</t>
        </is>
      </c>
      <c r="G14" s="15" t="inlineStr">
        <is>
          <t>Normandie</t>
        </is>
      </c>
      <c r="H14" s="15" t="inlineStr">
        <is>
          <t>Ce spécialiste du carrelage intérieur et extérieur, avec 9 showrooms et un réseau de poseurs partenaires, peut acheter un lot de MINYALA pour ses terrasses.</t>
        </is>
      </c>
      <c r="I14" s="20" t="inlineStr">
        <is>
          <t>www.torchio.fr</t>
        </is>
      </c>
      <c r="J14" s="15" t="inlineStr">
        <is>
          <t>02 31 35 05 05</t>
        </is>
      </c>
      <c r="K14" s="20" t="inlineStr">
        <is>
          <t>Voir</t>
        </is>
      </c>
      <c r="L14" s="21" t="inlineStr">
        <is>
          <t>À contacter</t>
        </is>
      </c>
      <c r="M14" s="21" t="n"/>
      <c r="N14" s="21" t="n"/>
      <c r="O14" s="21" t="inlineStr">
        <is>
          <t>[13/10] Affiché en forme anti-spam « info[@]torchio.fr » sur les mentions légales du site.</t>
        </is>
      </c>
      <c r="P14" s="15" t="inlineStr">
        <is>
          <t>2e liste (12/10)</t>
        </is>
      </c>
      <c r="Q14" s="12" t="inlineStr">
        <is>
          <t>info@torchio.fr</t>
        </is>
      </c>
    </row>
    <row r="15" ht="68.25" customHeight="1" s="13">
      <c r="A15" s="15" t="n">
        <v>14</v>
      </c>
      <c r="B15" s="15" t="inlineStr">
        <is>
          <t>Pro France</t>
        </is>
      </c>
      <c r="C15" s="15" t="n">
        <v>1</v>
      </c>
      <c r="D15" s="15" t="inlineStr">
        <is>
          <t>Carreleur / poseur pierre</t>
        </is>
      </c>
      <c r="E15" s="15" t="inlineStr">
        <is>
          <t>Tragin SAS (Tragin et Associés)</t>
        </is>
      </c>
      <c r="F15" s="15" t="inlineStr">
        <is>
          <t>Pont-l'Évêque (14130)</t>
        </is>
      </c>
      <c r="G15" s="15" t="inlineStr">
        <is>
          <t>Normandie</t>
        </is>
      </c>
      <c r="H15" s="15" t="inlineStr">
        <is>
          <t>Entreprise familiale de pose fondée en 1956, avec 21 poseurs, qui pose marbres, pierres naturelles et terrasses sur plots pour des architectes et promoteurs de la Côte Fleurie : elle pourrait acheter MINYALA par lots (usage à valider avec lui : finition, gel, glissance, humidité).</t>
        </is>
      </c>
      <c r="I15" s="20" t="inlineStr">
        <is>
          <t>www.tragin-sa.com</t>
        </is>
      </c>
      <c r="J15" s="15" t="inlineStr">
        <is>
          <t>02 31 88 25 78</t>
        </is>
      </c>
      <c r="K15" s="20" t="inlineStr">
        <is>
          <t>Voir</t>
        </is>
      </c>
      <c r="L15" s="21" t="inlineStr">
        <is>
          <t>Contacté</t>
        </is>
      </c>
      <c r="M15" s="21" t="inlineStr">
        <is>
          <t>12/10/2026</t>
        </is>
      </c>
      <c r="N15" s="21" t="inlineStr">
        <is>
          <t>Vérifier la réponse dans la boîte Hotmail d'envoi ; une seule relance (~19/10) si silence</t>
        </is>
      </c>
      <c r="O15" s="21" t="inlineStr">
        <is>
          <t>E-mail de prospection (tarif pro) du 12/10/2026 à 15:00 (copie reçue en SPAM).</t>
        </is>
      </c>
      <c r="P15" s="15" t="inlineStr">
        <is>
          <t>3e liste (12/10)</t>
        </is>
      </c>
      <c r="Q15" s="12" t="inlineStr">
        <is>
          <t>tragin-sa@wanadoo.fr</t>
        </is>
      </c>
    </row>
    <row r="16" ht="41.25" customHeight="1" s="13">
      <c r="A16" s="15" t="n">
        <v>15</v>
      </c>
      <c r="B16" s="15" t="inlineStr">
        <is>
          <t>Pro France</t>
        </is>
      </c>
      <c r="C16" s="15" t="n">
        <v>1</v>
      </c>
      <c r="D16" s="15" t="inlineStr">
        <is>
          <t>Showroom carrelage</t>
        </is>
      </c>
      <c r="E16" s="15" t="inlineStr">
        <is>
          <t>Batimantes (showrooms carrelage et salle de bains)</t>
        </is>
      </c>
      <c r="F16" s="15" t="inlineStr">
        <is>
          <t>Colombes (92700)</t>
        </is>
      </c>
      <c r="G16" s="15" t="inlineStr">
        <is>
          <t>Île-de-France</t>
        </is>
      </c>
      <c r="H16" s="15" t="inlineStr">
        <is>
          <t>Distributeur avec plusieurs showrooms carrelage et salle de bains dans le 92, le 78 et le 95 : il pourrait ajouter MINYALA à son offre pour les sols intérieurs et les salles de bains.</t>
        </is>
      </c>
      <c r="I16" s="20" t="inlineStr">
        <is>
          <t>www.batimantes.fr</t>
        </is>
      </c>
      <c r="J16" s="15" t="inlineStr">
        <is>
          <t>01 47 82 82 36</t>
        </is>
      </c>
      <c r="K16" s="20" t="inlineStr">
        <is>
          <t>Voir</t>
        </is>
      </c>
      <c r="L16" s="21" t="inlineStr">
        <is>
          <t>Contacté</t>
        </is>
      </c>
      <c r="M16" s="21" t="inlineStr">
        <is>
          <t>12/10/2026</t>
        </is>
      </c>
      <c r="N16" s="21" t="inlineStr">
        <is>
          <t>Vérifier la réponse dans la boîte Hotmail d'envoi ; une seule relance (~19/10) si silence</t>
        </is>
      </c>
      <c r="O16" s="21" t="inlineStr">
        <is>
          <t>E-mail de prospection (tarif pro) du 12/10/2026 à 15:03 (copie reçue en SPAM).</t>
        </is>
      </c>
      <c r="P16" s="15" t="inlineStr">
        <is>
          <t>3e liste (12/10)</t>
        </is>
      </c>
      <c r="Q16" s="12" t="inlineStr">
        <is>
          <t>colombes.expo@batimantes.fr</t>
        </is>
      </c>
    </row>
    <row r="17" ht="41.25" customHeight="1" s="13">
      <c r="A17" s="15" t="n">
        <v>16</v>
      </c>
      <c r="B17" s="15" t="inlineStr">
        <is>
          <t>Pro France</t>
        </is>
      </c>
      <c r="C17" s="15" t="n">
        <v>1</v>
      </c>
      <c r="D17" s="15" t="inlineStr">
        <is>
          <t>Pisciniste</t>
        </is>
      </c>
      <c r="E17" s="15" t="inlineStr">
        <is>
          <t>Belles Piscines (concessionnaire Mondial Piscine)</t>
        </is>
      </c>
      <c r="F17" s="15" t="inlineStr">
        <is>
          <t>Coignières (78310)</t>
        </is>
      </c>
      <c r="G17" s="15" t="inlineStr">
        <is>
          <t>Île-de-France</t>
        </is>
      </c>
      <c r="H17" s="15" t="inlineStr">
        <is>
          <t>Son showroom vend déjà carrelages extérieurs, margelles et dallages : MINYALA pourrait compléter sa gamme de plages de piscine dans les Yvelines (usage à valider avec lui : finition, gel, glissance, humidité).</t>
        </is>
      </c>
      <c r="I17" s="20" t="inlineStr">
        <is>
          <t>coignieres.mondial-piscine.eu</t>
        </is>
      </c>
      <c r="J17" s="15" t="inlineStr">
        <is>
          <t>01 34 89 64 10</t>
        </is>
      </c>
      <c r="K17" s="20" t="inlineStr">
        <is>
          <t>Voir</t>
        </is>
      </c>
      <c r="L17" s="21" t="inlineStr">
        <is>
          <t>À contacter</t>
        </is>
      </c>
      <c r="M17" s="21" t="n"/>
      <c r="N17" s="21" t="n"/>
      <c r="O17" s="21" t="inlineStr">
        <is>
          <t>[13/10] Lien « Envoyer un e-mail » de la page Notre agence (Coignières).</t>
        </is>
      </c>
      <c r="P17" s="15" t="inlineStr">
        <is>
          <t>2e liste (12/10)</t>
        </is>
      </c>
      <c r="Q17" s="12" t="inlineStr">
        <is>
          <t>accueil@belles-piscines.com</t>
        </is>
      </c>
    </row>
    <row r="18" ht="41.25" customHeight="1" s="13">
      <c r="A18" s="15" t="n">
        <v>17</v>
      </c>
      <c r="B18" s="15" t="inlineStr">
        <is>
          <t>Pro France</t>
        </is>
      </c>
      <c r="C18" s="15" t="n">
        <v>1</v>
      </c>
      <c r="D18" s="15" t="inlineStr">
        <is>
          <t>Négoce / revendeur</t>
        </is>
      </c>
      <c r="E18" s="15" t="inlineStr">
        <is>
          <t>BigMat Aubert Matériaux</t>
        </is>
      </c>
      <c r="F18" s="15" t="inlineStr">
        <is>
          <t>Mareil-sur-Mauldre (78124)</t>
        </is>
      </c>
      <c r="G18" s="15" t="inlineStr">
        <is>
          <t>Île-de-France</t>
        </is>
      </c>
      <c r="H18" s="15" t="inlineStr">
        <is>
          <t>Négoce BigMat des Yvelines doté de showrooms carrelage et aménagement extérieur, il pourrait stocker MINYALA pour ses artisans et ses clients particuliers.</t>
        </is>
      </c>
      <c r="I18" s="15" t="n"/>
      <c r="J18" s="15" t="inlineStr">
        <is>
          <t>01 30 90 71 75</t>
        </is>
      </c>
      <c r="K18" s="20" t="inlineStr">
        <is>
          <t>Voir</t>
        </is>
      </c>
      <c r="L18" s="21" t="inlineStr">
        <is>
          <t>À contacter</t>
        </is>
      </c>
      <c r="M18" s="21" t="n"/>
      <c r="N18" s="21" t="n"/>
      <c r="O18" s="21" t="n"/>
      <c r="P18" s="15" t="inlineStr">
        <is>
          <t>3e liste (12/10)</t>
        </is>
      </c>
    </row>
    <row r="19" ht="41.25" customHeight="1" s="13">
      <c r="A19" s="15" t="n">
        <v>18</v>
      </c>
      <c r="B19" s="15" t="inlineStr">
        <is>
          <t>Pro France</t>
        </is>
      </c>
      <c r="C19" s="15" t="n">
        <v>1</v>
      </c>
      <c r="D19" s="15" t="inlineStr">
        <is>
          <t>Showroom carrelage</t>
        </is>
      </c>
      <c r="E19" s="15" t="inlineStr">
        <is>
          <t>Carrelage Design 95</t>
        </is>
      </c>
      <c r="F19" s="15" t="inlineStr">
        <is>
          <t>Saint-Ouen-l'Aumône (95310)</t>
        </is>
      </c>
      <c r="G19" s="15" t="inlineStr">
        <is>
          <t>Île-de-France</t>
        </is>
      </c>
      <c r="H19" s="15" t="inlineStr">
        <is>
          <t>Ce cash &amp; carry du Val-d'Oise vend déjà pierre naturelle et travertin sur stock, donc il peut racheter un lot de MINYALA et le revendre aux particuliers et aux carreleurs.</t>
        </is>
      </c>
      <c r="I19" s="20" t="inlineStr">
        <is>
          <t>www.carrelage-design-95.fr</t>
        </is>
      </c>
      <c r="J19" s="15" t="inlineStr">
        <is>
          <t>07 83 34 77 88</t>
        </is>
      </c>
      <c r="K19" s="20" t="inlineStr">
        <is>
          <t>Voir</t>
        </is>
      </c>
      <c r="L19" s="21" t="inlineStr">
        <is>
          <t>À rapprocher (export Hotmail)</t>
        </is>
      </c>
      <c r="M19" s="21" t="n"/>
      <c r="N19" s="21" t="inlineStr">
        <is>
          <t>Rapprocher l'export Hotmail (~180 messages / 95 destinataires) avant tout envoi ; ensuite, boîte Gmail uniquement</t>
        </is>
      </c>
      <c r="O19" s="21" t="inlineStr">
        <is>
          <t>[13/10] E-mail affiché sur le site (pied de page, contact, mentions légales). | [13/10] Tentative depuis Hotmail rejetée EN SORTIE (5.7.520 : contenu classé spam par Microsoft) — message non remis ; l'adresse n'est pas forcément invalide. Prochain contact depuis la boîte Gmail, nouveau modèle, jamais depuis Hotmail. | [13/10 soir] L'export Hotmail recense des tentatives ultérieures vers cette adresse (issue non confirmée) : ne plus compter « jamais contacté » ; statut à arrêter au rapprochement de l'export.</t>
        </is>
      </c>
      <c r="P19" s="15" t="inlineStr">
        <is>
          <t>2e liste (12/10)</t>
        </is>
      </c>
      <c r="Q19" s="12" t="inlineStr">
        <is>
          <t>contact@carrelage-design-95.fr</t>
        </is>
      </c>
    </row>
    <row r="20" ht="41.25" customHeight="1" s="13">
      <c r="A20" s="15" t="n">
        <v>19</v>
      </c>
      <c r="B20" s="15" t="inlineStr">
        <is>
          <t>Pro France</t>
        </is>
      </c>
      <c r="C20" s="15" t="n">
        <v>1</v>
      </c>
      <c r="D20" s="15" t="inlineStr">
        <is>
          <t>Négoce / revendeur</t>
        </is>
      </c>
      <c r="E20" s="15" t="inlineStr">
        <is>
          <t>Carrelage Roger Herblay</t>
        </is>
      </c>
      <c r="F20" s="15" t="inlineStr">
        <is>
          <t>Herblay-sur-Seine (95220)</t>
        </is>
      </c>
      <c r="G20" s="15" t="inlineStr">
        <is>
          <t>Île-de-France</t>
        </is>
      </c>
      <c r="H20" s="15" t="inlineStr">
        <is>
          <t>Ce négociant indépendant vend déjà de la pierre naturelle et du carrelage de terrasse dans son showroom d'Herblay : il pourrait référencer MINYALA.</t>
        </is>
      </c>
      <c r="I20" s="20" t="inlineStr">
        <is>
          <t>www.carrelage-roger.com</t>
        </is>
      </c>
      <c r="J20" s="15" t="inlineStr">
        <is>
          <t>01 39 31 93 10</t>
        </is>
      </c>
      <c r="K20" s="20" t="inlineStr">
        <is>
          <t>Voir</t>
        </is>
      </c>
      <c r="L20" s="21" t="inlineStr">
        <is>
          <t>À rapprocher (export Hotmail)</t>
        </is>
      </c>
      <c r="M20" s="21" t="n"/>
      <c r="N20" s="21" t="inlineStr">
        <is>
          <t>Rapprocher l'export Hotmail (~180 messages / 95 destinataires) avant tout envoi ; ensuite, boîte Gmail uniquement</t>
        </is>
      </c>
      <c r="O20" s="21" t="inlineStr">
        <is>
          <t>[13/10] E-mail des mentions légales (attention : domaine inversé roger-carrelage.com, tel qu'affiché par le site). | [13/10] Tentative Hotmail du 12/10 vers broger@roger-carrelage.com (nominative) rejetée en sortie (5.7.520). Utiliser l'adresse générique, depuis Gmail. | [13/10 soir] L'export Hotmail recense des tentatives ultérieures vers cette adresse (issue non confirmée) : ne plus compter « jamais contacté » ; statut à arrêter au rapprochement de l'export.</t>
        </is>
      </c>
      <c r="P20" s="15" t="inlineStr">
        <is>
          <t>2e liste (12/10)</t>
        </is>
      </c>
      <c r="Q20" s="12" t="inlineStr">
        <is>
          <t>contact@roger-carrelage.com</t>
        </is>
      </c>
    </row>
    <row r="21" ht="27.75" customHeight="1" s="13">
      <c r="A21" s="15" t="n">
        <v>20</v>
      </c>
      <c r="B21" s="15" t="inlineStr">
        <is>
          <t>Pro France</t>
        </is>
      </c>
      <c r="C21" s="15" t="n">
        <v>1</v>
      </c>
      <c r="D21" s="15" t="inlineStr">
        <is>
          <t>Négoce / revendeur</t>
        </is>
      </c>
      <c r="E21" s="15" t="inlineStr">
        <is>
          <t>Carrelages Pedrazzini</t>
        </is>
      </c>
      <c r="F21" s="15" t="inlineStr">
        <is>
          <t>Voisenon (77950)</t>
        </is>
      </c>
      <c r="G21" s="15" t="inlineStr">
        <is>
          <t>Île-de-France</t>
        </is>
      </c>
      <c r="H21" s="15" t="inlineStr">
        <is>
          <t>Vend de la pierre naturelle, showroom et stock important : peut reprendre un gros lot.</t>
        </is>
      </c>
      <c r="I21" s="15" t="n"/>
      <c r="J21" s="15" t="n"/>
      <c r="K21" s="20" t="inlineStr">
        <is>
          <t>Voir</t>
        </is>
      </c>
      <c r="L21" s="21" t="inlineStr">
        <is>
          <t>À contacter</t>
        </is>
      </c>
      <c r="M21" s="21" t="n"/>
      <c r="N21" s="21" t="n"/>
      <c r="O21" s="21" t="n"/>
      <c r="P21" s="15" t="inlineStr">
        <is>
          <t>1re liste (08/10)</t>
        </is>
      </c>
    </row>
    <row r="22" ht="41.25" customHeight="1" s="13">
      <c r="A22" s="15" t="n">
        <v>21</v>
      </c>
      <c r="B22" s="15" t="inlineStr">
        <is>
          <t>Pro France</t>
        </is>
      </c>
      <c r="C22" s="15" t="n">
        <v>1</v>
      </c>
      <c r="D22" s="15" t="inlineStr">
        <is>
          <t>Showroom carrelage</t>
        </is>
      </c>
      <c r="E22" s="15" t="inlineStr">
        <is>
          <t>Ceramico</t>
        </is>
      </c>
      <c r="F22" s="15" t="inlineStr">
        <is>
          <t>Sarcelles (95200)</t>
        </is>
      </c>
      <c r="G22" s="15" t="inlineStr">
        <is>
          <t>Île-de-France</t>
        </is>
      </c>
      <c r="H22" s="15" t="inlineStr">
        <is>
          <t>Déstockeur de carrelage au gros stock qui vend déjà marbre, travertin et dallage en pierre naturelle, il est un acheteur naturel pour un lot de MINYALA disponible au tarif professionnel (sur devis).</t>
        </is>
      </c>
      <c r="I22" s="20" t="inlineStr">
        <is>
          <t>www.ceramico.fr</t>
        </is>
      </c>
      <c r="J22" s="15" t="inlineStr">
        <is>
          <t>01 86 04 82 15</t>
        </is>
      </c>
      <c r="K22" s="20" t="inlineStr">
        <is>
          <t>Voir</t>
        </is>
      </c>
      <c r="L22" s="21" t="inlineStr">
        <is>
          <t>À contacter</t>
        </is>
      </c>
      <c r="M22" s="21" t="n"/>
      <c r="N22" s="21" t="n"/>
      <c r="O22" s="21" t="n"/>
      <c r="P22" s="15" t="inlineStr">
        <is>
          <t>3e liste (12/10)</t>
        </is>
      </c>
    </row>
    <row r="23" ht="41.25" customHeight="1" s="13">
      <c r="A23" s="15" t="n">
        <v>22</v>
      </c>
      <c r="B23" s="15" t="inlineStr">
        <is>
          <t>Pro France</t>
        </is>
      </c>
      <c r="C23" s="15" t="n">
        <v>1</v>
      </c>
      <c r="D23" s="15" t="inlineStr">
        <is>
          <t>Marbrerie</t>
        </is>
      </c>
      <c r="E23" s="15" t="inlineStr">
        <is>
          <t>Décomarbre</t>
        </is>
      </c>
      <c r="F23" s="15" t="inlineStr">
        <is>
          <t>Bry-sur-Marne (94360)</t>
        </is>
      </c>
      <c r="G23" s="15" t="inlineStr">
        <is>
          <t>Île-de-France</t>
        </is>
      </c>
      <c r="H23" s="15" t="inlineStr">
        <is>
          <t>Marbrerie avec showroom qui garde un stock permanent de dallages et travaille déjà le travertin, elle pourrait ajouter MINYALA en 30×60 à son stock de dallages.</t>
        </is>
      </c>
      <c r="I23" s="20" t="inlineStr">
        <is>
          <t>www.decomarbre.fr</t>
        </is>
      </c>
      <c r="J23" s="15" t="inlineStr">
        <is>
          <t>01 48 81 28 49</t>
        </is>
      </c>
      <c r="K23" s="20" t="inlineStr">
        <is>
          <t>Voir</t>
        </is>
      </c>
      <c r="L23" s="21" t="inlineStr">
        <is>
          <t>À contacter</t>
        </is>
      </c>
      <c r="M23" s="21" t="n"/>
      <c r="N23" s="21" t="inlineStr">
        <is>
          <t>Prochain contact depuis la boîte Gmail (pas Hotmail), après fusion du suivi</t>
        </is>
      </c>
      <c r="O23" s="21" t="inlineStr">
        <is>
          <t>[13/10] Tentative depuis Hotmail rejetée EN SORTIE (5.7.520 : contenu classé spam par Microsoft) — message non remis ; l'adresse n'est pas forcément invalide. Prochain contact depuis la boîte Gmail, nouveau modèle, jamais depuis Hotmail.</t>
        </is>
      </c>
      <c r="P23" s="15" t="inlineStr">
        <is>
          <t>3e liste (12/10)</t>
        </is>
      </c>
      <c r="Q23" s="12" t="inlineStr">
        <is>
          <t>decomarbre@decomarbre94.fr</t>
        </is>
      </c>
    </row>
    <row r="24" ht="41.25" customHeight="1" s="13">
      <c r="A24" s="15" t="n">
        <v>23</v>
      </c>
      <c r="B24" s="15" t="inlineStr">
        <is>
          <t>Pro France</t>
        </is>
      </c>
      <c r="C24" s="15" t="n">
        <v>1</v>
      </c>
      <c r="D24" s="15" t="inlineStr">
        <is>
          <t>Carreleur / poseur pierre</t>
        </is>
      </c>
      <c r="E24" s="15" t="inlineStr">
        <is>
          <t>FLIPO</t>
        </is>
      </c>
      <c r="F24" s="15" t="inlineStr">
        <is>
          <t>Pantin (93500)</t>
        </is>
      </c>
      <c r="G24" s="15" t="inlineStr">
        <is>
          <t>Île-de-France</t>
        </is>
      </c>
      <c r="H24" s="15" t="inlineStr">
        <is>
          <t>Entreprise de Pantin dont le pôle carrelage et marbrerie pose pierre et marbre dans tous formats, y compris en espaces balnéo et pour l'hôtellerie : elle pourrait proposer MINYALA sur ses chantiers.</t>
        </is>
      </c>
      <c r="I24" s="20" t="inlineStr">
        <is>
          <t>flipo.fr</t>
        </is>
      </c>
      <c r="J24" s="15" t="inlineStr">
        <is>
          <t>01 48 91 20 50</t>
        </is>
      </c>
      <c r="K24" s="20" t="inlineStr">
        <is>
          <t>Voir</t>
        </is>
      </c>
      <c r="L24" s="21" t="inlineStr">
        <is>
          <t>Contacté</t>
        </is>
      </c>
      <c r="M24" s="21" t="inlineStr">
        <is>
          <t>12/10/2026</t>
        </is>
      </c>
      <c r="N24" s="21" t="inlineStr">
        <is>
          <t>Vérifier la réponse dans la boîte Hotmail d'envoi ; une seule relance (~19/10) si silence</t>
        </is>
      </c>
      <c r="O24" s="21" t="inlineStr">
        <is>
          <t>E-mail de prospection (tarif pro) du 12/10/2026 à 15:04 (copie reçue en SPAM).</t>
        </is>
      </c>
      <c r="P24" s="15" t="inlineStr">
        <is>
          <t>3e liste (12/10)</t>
        </is>
      </c>
      <c r="Q24" s="12" t="inlineStr">
        <is>
          <t>flipo@flipo.fr</t>
        </is>
      </c>
    </row>
    <row r="25" ht="41.25" customHeight="1" s="13">
      <c r="A25" s="15" t="n">
        <v>24</v>
      </c>
      <c r="B25" s="15" t="inlineStr">
        <is>
          <t>Pro France</t>
        </is>
      </c>
      <c r="C25" s="15" t="n">
        <v>1</v>
      </c>
      <c r="D25" s="15" t="inlineStr">
        <is>
          <t>Négoce / revendeur</t>
        </is>
      </c>
      <c r="E25" s="15" t="inlineStr">
        <is>
          <t>Gedimat Aux Docks de Clamart (Concept Store Sols &amp; Bains)</t>
        </is>
      </c>
      <c r="F25" s="15" t="inlineStr">
        <is>
          <t>Clamart (92140)</t>
        </is>
      </c>
      <c r="G25" s="15" t="inlineStr">
        <is>
          <t>Île-de-France</t>
        </is>
      </c>
      <c r="H25" s="15" t="inlineStr">
        <is>
          <t>Négoce Gedimat avec rayon pavés et dallages et un showroom Sols &amp; Bains, qui pourrait référencer MINYALA en dallage extérieur comme en sol intérieur.</t>
        </is>
      </c>
      <c r="I25" s="20" t="inlineStr">
        <is>
          <t>www.gedimat.fr/2264-magasin-gedimat-aux-docks-de-clamart-clamart.htm</t>
        </is>
      </c>
      <c r="J25" s="15" t="inlineStr">
        <is>
          <t>01 46 01 52 20</t>
        </is>
      </c>
      <c r="K25" s="20" t="inlineStr">
        <is>
          <t>Voir</t>
        </is>
      </c>
      <c r="L25" s="21" t="inlineStr">
        <is>
          <t>Contacté</t>
        </is>
      </c>
      <c r="M25" s="21" t="inlineStr">
        <is>
          <t>12/10/2026</t>
        </is>
      </c>
      <c r="N25" s="21" t="inlineStr">
        <is>
          <t>Vérifier la réponse dans la boîte Hotmail d'envoi ; une seule relance (~19/10) si silence</t>
        </is>
      </c>
      <c r="O25" s="21" t="inlineStr">
        <is>
          <t>E-mail de prospection (tarif pro) du 12/10/2026 à 15:03 (copie reçue en SPAM).</t>
        </is>
      </c>
      <c r="P25" s="15" t="inlineStr">
        <is>
          <t>3e liste (12/10)</t>
        </is>
      </c>
      <c r="Q25" s="12" t="inlineStr">
        <is>
          <t>expo@docksclamart.fr</t>
        </is>
      </c>
    </row>
    <row r="26" ht="54.75" customHeight="1" s="13">
      <c r="A26" s="15" t="n">
        <v>25</v>
      </c>
      <c r="B26" s="15" t="inlineStr">
        <is>
          <t>Pro France</t>
        </is>
      </c>
      <c r="C26" s="15" t="n">
        <v>1</v>
      </c>
      <c r="D26" s="15" t="inlineStr">
        <is>
          <t>Négoce / revendeur</t>
        </is>
      </c>
      <c r="E26" s="15" t="inlineStr">
        <is>
          <t>Gedimat Sefor Houilles</t>
        </is>
      </c>
      <c r="F26" s="15" t="inlineStr">
        <is>
          <t>Houilles (78800)</t>
        </is>
      </c>
      <c r="G26" s="15" t="inlineStr">
        <is>
          <t>Île-de-France</t>
        </is>
      </c>
      <c r="H26" s="15" t="inlineStr">
        <is>
          <t>Grand négoce de 25 000 m² avec exposition revêtements, sols et terrasses et un responsable carrelage et aménagement extérieur : il pourrait acheter un lot de MINYALA pour ses clients pros et particuliers.</t>
        </is>
      </c>
      <c r="I26" s="20" t="inlineStr">
        <is>
          <t>www.gedimat.fr/2034-magasin-gedimat-sefor-houilles.htm</t>
        </is>
      </c>
      <c r="J26" s="15" t="inlineStr">
        <is>
          <t>01 39 57 10 10</t>
        </is>
      </c>
      <c r="K26" s="20" t="inlineStr">
        <is>
          <t>Voir</t>
        </is>
      </c>
      <c r="L26" s="21" t="inlineStr">
        <is>
          <t>Contacté</t>
        </is>
      </c>
      <c r="M26" s="21" t="inlineStr">
        <is>
          <t>12/10/2026</t>
        </is>
      </c>
      <c r="N26" s="21" t="inlineStr">
        <is>
          <t>Vérifier la réponse dans la boîte Hotmail d'envoi ; une seule relance (~19/10) si silence</t>
        </is>
      </c>
      <c r="O26" s="21" t="inlineStr">
        <is>
          <t>E-mail de prospection (tarif pro) du 12/10/2026 à 15:03 (copie reçue en SPAM).</t>
        </is>
      </c>
      <c r="P26" s="15" t="inlineStr">
        <is>
          <t>3e liste (12/10)</t>
        </is>
      </c>
      <c r="Q26" s="12" t="inlineStr">
        <is>
          <t>guillaume.lallet@gedimat.fr</t>
        </is>
      </c>
    </row>
    <row r="27" ht="54.75" customHeight="1" s="13">
      <c r="A27" s="15" t="n">
        <v>26</v>
      </c>
      <c r="B27" s="15" t="inlineStr">
        <is>
          <t>Pro France</t>
        </is>
      </c>
      <c r="C27" s="15" t="n">
        <v>1</v>
      </c>
      <c r="D27" s="15" t="inlineStr">
        <is>
          <t>Showroom carrelage</t>
        </is>
      </c>
      <c r="E27" s="15" t="inlineStr">
        <is>
          <t>Kap Carrelage Domont</t>
        </is>
      </c>
      <c r="F27" s="15" t="inlineStr">
        <is>
          <t>Domont (95330)</t>
        </is>
      </c>
      <c r="G27" s="15" t="inlineStr">
        <is>
          <t>Île-de-France</t>
        </is>
      </c>
      <c r="H27" s="15" t="inlineStr">
        <is>
          <t>Showroom carrelage du Val-d'Oise qui vend aux particuliers et aux pros, pour terrasses et piscines, et fait du déstockage : il pourrait acheter MINYALA en lot pour le revendre (usage à valider avec lui : finition, gel, glissance, humidité).</t>
        </is>
      </c>
      <c r="I27" s="20" t="inlineStr">
        <is>
          <t>kap-carrelage.store</t>
        </is>
      </c>
      <c r="J27" s="15" t="inlineStr">
        <is>
          <t>01 30 18 50 14</t>
        </is>
      </c>
      <c r="K27" s="20" t="inlineStr">
        <is>
          <t>Voir</t>
        </is>
      </c>
      <c r="L27" s="21" t="inlineStr">
        <is>
          <t>Contacté</t>
        </is>
      </c>
      <c r="M27" s="21" t="inlineStr">
        <is>
          <t>12/10/2026</t>
        </is>
      </c>
      <c r="N27" s="21" t="inlineStr">
        <is>
          <t>Vérifier la réponse dans la boîte Hotmail d'envoi ; une seule relance (~19/10) si silence</t>
        </is>
      </c>
      <c r="O27" s="21" t="inlineStr">
        <is>
          <t>E-mail de prospection (tarif pro) du 12/10/2026 à 15:04 (copie reçue en SPAM).</t>
        </is>
      </c>
      <c r="P27" s="15" t="inlineStr">
        <is>
          <t>3e liste (12/10)</t>
        </is>
      </c>
      <c r="Q27" s="12" t="inlineStr">
        <is>
          <t>contact@kap-carrelage.store</t>
        </is>
      </c>
    </row>
    <row r="28" ht="15" customHeight="1" s="13">
      <c r="A28" s="15" t="n">
        <v>27</v>
      </c>
      <c r="B28" s="15" t="inlineStr">
        <is>
          <t>Pro France</t>
        </is>
      </c>
      <c r="C28" s="15" t="n">
        <v>1</v>
      </c>
      <c r="D28" s="15" t="inlineStr">
        <is>
          <t>Négoce / revendeur</t>
        </is>
      </c>
      <c r="E28" s="15" t="inlineStr">
        <is>
          <t>La Halle aux Pierres</t>
        </is>
      </c>
      <c r="F28" s="15" t="inlineStr">
        <is>
          <t>Gometz-le-Châtel (91940)</t>
        </is>
      </c>
      <c r="G28" s="15" t="inlineStr">
        <is>
          <t>Île-de-France</t>
        </is>
      </c>
      <c r="H28" s="15" t="inlineStr">
        <is>
          <t>Négoce de matériaux de construction.</t>
        </is>
      </c>
      <c r="I28" s="15" t="n"/>
      <c r="J28" s="15" t="n"/>
      <c r="K28" s="20" t="inlineStr">
        <is>
          <t>Voir</t>
        </is>
      </c>
      <c r="L28" s="21" t="inlineStr">
        <is>
          <t>À contacter</t>
        </is>
      </c>
      <c r="M28" s="21" t="n"/>
      <c r="N28" s="21" t="inlineStr">
        <is>
          <t>Prochain contact depuis la boîte Gmail (pas Hotmail), après fusion du suivi</t>
        </is>
      </c>
      <c r="O28" s="21" t="inlineStr">
        <is>
          <t>Rapprochement du 13/10 (autre assistant) : dernier envoi rejeté (échec de remise) — à confirmer, puis trouver une autre adresse. | [13/10] Tentative depuis Hotmail rejetée EN SORTIE (5.7.520 : contenu classé spam par Microsoft) — message non remis ; l'adresse n'est pas forcément invalide. Prochain contact depuis la boîte Gmail, nouveau modèle, jamais depuis Hotmail.</t>
        </is>
      </c>
      <c r="P28" s="15" t="inlineStr">
        <is>
          <t>1re liste (08/10)</t>
        </is>
      </c>
      <c r="Q28" s="12" t="inlineStr">
        <is>
          <t>lahalleauxpierres@orange.fr</t>
        </is>
      </c>
    </row>
    <row r="29" ht="41.25" customHeight="1" s="13">
      <c r="A29" s="15" t="n">
        <v>28</v>
      </c>
      <c r="B29" s="15" t="inlineStr">
        <is>
          <t>Pro France</t>
        </is>
      </c>
      <c r="C29" s="15" t="n">
        <v>1</v>
      </c>
      <c r="D29" s="15" t="inlineStr">
        <is>
          <t>Négoce / revendeur</t>
        </is>
      </c>
      <c r="E29" s="15" t="inlineStr">
        <is>
          <t>Le Holloco</t>
        </is>
      </c>
      <c r="F29" s="15" t="inlineStr">
        <is>
          <t>Herblay-sur-Seine (95220)</t>
        </is>
      </c>
      <c r="G29" s="15" t="inlineStr">
        <is>
          <t>Île-de-France</t>
        </is>
      </c>
      <c r="H29" s="15" t="inlineStr">
        <is>
          <t>Négoce du Val-d'Oise avec trois agences, une offre de dalles et pavés pour l'extérieur et des espaces d'exposition carrelage : il pourrait référencer MINYALA.</t>
        </is>
      </c>
      <c r="I29" s="20" t="inlineStr">
        <is>
          <t>leholloco.com</t>
        </is>
      </c>
      <c r="J29" s="15" t="inlineStr">
        <is>
          <t>01 34 50 95 00</t>
        </is>
      </c>
      <c r="K29" s="20" t="inlineStr">
        <is>
          <t>Voir</t>
        </is>
      </c>
      <c r="L29" s="21" t="inlineStr">
        <is>
          <t>Contacté</t>
        </is>
      </c>
      <c r="M29" s="21" t="inlineStr">
        <is>
          <t>12/10/2026</t>
        </is>
      </c>
      <c r="N29" s="21" t="inlineStr">
        <is>
          <t>Vérifier la réponse dans la boîte Hotmail d'envoi ; une seule relance (~19/10) si silence</t>
        </is>
      </c>
      <c r="O29" s="21" t="inlineStr">
        <is>
          <t>E-mail de prospection (tarif pro) du 12/10/2026 à 15:00 (copie reçue en SPAM).</t>
        </is>
      </c>
      <c r="P29" s="15" t="inlineStr">
        <is>
          <t>3e liste (12/10)</t>
        </is>
      </c>
      <c r="Q29" s="12" t="inlineStr">
        <is>
          <t>materiaux@leholloco.fr</t>
        </is>
      </c>
    </row>
    <row r="30" ht="41.25" customHeight="1" s="13">
      <c r="A30" s="15" t="n">
        <v>29</v>
      </c>
      <c r="B30" s="15" t="inlineStr">
        <is>
          <t>Pro France</t>
        </is>
      </c>
      <c r="C30" s="15" t="n">
        <v>1</v>
      </c>
      <c r="D30" s="15" t="inlineStr">
        <is>
          <t>Paysagiste</t>
        </is>
      </c>
      <c r="E30" s="15" t="inlineStr">
        <is>
          <t>Le Monde des Jardins</t>
        </is>
      </c>
      <c r="F30" s="15" t="inlineStr">
        <is>
          <t>Deuil-la-Barre (95170)</t>
        </is>
      </c>
      <c r="G30" s="15" t="inlineStr">
        <is>
          <t>Île-de-France</t>
        </is>
      </c>
      <c r="H30" s="15" t="inlineStr">
        <is>
          <t>Ce paysagiste du Val-d'Oise fait de la pierre naturelle son matériau de prédilection et utilise déjà un calcaire à patine dorée : MINYALA, de teinte crème, peut compléter sa gamme pour terrasses et dallages.</t>
        </is>
      </c>
      <c r="I30" s="20" t="inlineStr">
        <is>
          <t>lemondedesjardins.fr</t>
        </is>
      </c>
      <c r="J30" s="15" t="inlineStr">
        <is>
          <t>01 34 28 80 46</t>
        </is>
      </c>
      <c r="K30" s="20" t="inlineStr">
        <is>
          <t>Voir</t>
        </is>
      </c>
      <c r="L30" s="21" t="inlineStr">
        <is>
          <t>À rapprocher (export Hotmail)</t>
        </is>
      </c>
      <c r="M30" s="21" t="n"/>
      <c r="N30" s="21" t="inlineStr">
        <is>
          <t>Rapprocher l'export Hotmail (~180 messages / 95 destinataires) avant tout envoi ; ensuite, boîte Gmail uniquement</t>
        </is>
      </c>
      <c r="O30" s="21" t="inlineStr">
        <is>
          <t>[13/10] Page contact (domaine .com alors que le site est en .fr : tel qu'affiché). | [13/10] Tentative depuis Hotmail rejetée EN SORTIE (5.7.520 : contenu classé spam par Microsoft) — message non remis ; l'adresse n'est pas forcément invalide. Prochain contact depuis la boîte Gmail, nouveau modèle, jamais depuis Hotmail. | [13/10 soir] L'export Hotmail recense des tentatives ultérieures vers cette adresse (issue non confirmée) : ne plus compter « jamais contacté » ; statut à arrêter au rapprochement de l'export.</t>
        </is>
      </c>
      <c r="P30" s="15" t="inlineStr">
        <is>
          <t>2e liste (12/10)</t>
        </is>
      </c>
      <c r="Q30" s="12" t="inlineStr">
        <is>
          <t>contact@lemondedesjardins.com</t>
        </is>
      </c>
    </row>
    <row r="31" ht="41.25" customHeight="1" s="13">
      <c r="A31" s="15" t="n">
        <v>30</v>
      </c>
      <c r="B31" s="15" t="inlineStr">
        <is>
          <t>Pro France</t>
        </is>
      </c>
      <c r="C31" s="15" t="n">
        <v>1</v>
      </c>
      <c r="D31" s="15" t="inlineStr">
        <is>
          <t>Négoce / revendeur</t>
        </is>
      </c>
      <c r="E31" s="15" t="inlineStr">
        <is>
          <t>MCA Matériaux Cuisines Aménagements (France Matériaux)</t>
        </is>
      </c>
      <c r="F31" s="15" t="inlineStr">
        <is>
          <t>Achères (78260)</t>
        </is>
      </c>
      <c r="G31" s="15" t="inlineStr">
        <is>
          <t>Île-de-France</t>
        </is>
      </c>
      <c r="H31" s="15" t="inlineStr">
        <is>
          <t>Négoce du réseau France Matériaux avec showroom carrelage et une offre aménagement extérieur : il pourrait proposer MINYALA à ses clients pros et particuliers.</t>
        </is>
      </c>
      <c r="I31" s="20" t="inlineStr">
        <is>
          <t>www.mca-materiaux.com</t>
        </is>
      </c>
      <c r="J31" s="15" t="inlineStr">
        <is>
          <t>01 30 06 00 07</t>
        </is>
      </c>
      <c r="K31" s="20" t="inlineStr">
        <is>
          <t>Voir</t>
        </is>
      </c>
      <c r="L31" s="21" t="inlineStr">
        <is>
          <t>Contacté</t>
        </is>
      </c>
      <c r="M31" s="21" t="inlineStr">
        <is>
          <t>12/10/2026</t>
        </is>
      </c>
      <c r="N31" s="21" t="inlineStr">
        <is>
          <t>Vérifier la réponse dans la boîte Hotmail d'envoi ; une seule relance (~19/10) si silence</t>
        </is>
      </c>
      <c r="O31" s="21" t="inlineStr">
        <is>
          <t>E-mail de prospection (tarif pro) du 12/10/2026 à 15:03 (copie reçue en INBOX).</t>
        </is>
      </c>
      <c r="P31" s="15" t="inlineStr">
        <is>
          <t>3e liste (12/10)</t>
        </is>
      </c>
      <c r="Q31" s="12" t="inlineStr">
        <is>
          <t>contact@mca-materiaux.net</t>
        </is>
      </c>
    </row>
    <row r="32" ht="54.75" customHeight="1" s="13">
      <c r="A32" s="15" t="n">
        <v>31</v>
      </c>
      <c r="B32" s="15" t="inlineStr">
        <is>
          <t>Pro France</t>
        </is>
      </c>
      <c r="C32" s="15" t="n">
        <v>1</v>
      </c>
      <c r="D32" s="15" t="inlineStr">
        <is>
          <t>Marbrerie</t>
        </is>
      </c>
      <c r="E32" s="15" t="inlineStr">
        <is>
          <t>MDY - Marbrerie des Yvelines</t>
        </is>
      </c>
      <c r="F32" s="15" t="inlineStr">
        <is>
          <t>Versailles (78000)</t>
        </is>
      </c>
      <c r="G32" s="15" t="inlineStr">
        <is>
          <t>Île-de-France</t>
        </is>
      </c>
      <c r="H32" s="15" t="inlineStr">
        <is>
          <t>Cette marbrerie de Versailles, qui a aussi un showroom à Pont-l'Évêque, vend déjà du dallage en pierre naturelle pour terrasses et abords de piscine : MINYALA peut entrer dans sa gamme (usage à valider avec lui : finition, gel, glissance, humidité).</t>
        </is>
      </c>
      <c r="I32" s="20" t="inlineStr">
        <is>
          <t>www.mdy-france.com</t>
        </is>
      </c>
      <c r="J32" s="15" t="inlineStr">
        <is>
          <t>01 39 24 17 17</t>
        </is>
      </c>
      <c r="K32" s="20" t="inlineStr">
        <is>
          <t>Voir</t>
        </is>
      </c>
      <c r="L32" s="21" t="inlineStr">
        <is>
          <t>Contacté</t>
        </is>
      </c>
      <c r="M32" s="21" t="inlineStr">
        <is>
          <t>12/10/2026</t>
        </is>
      </c>
      <c r="N32" s="21" t="inlineStr">
        <is>
          <t>Vérifier la réponse dans la boîte Hotmail d'envoi ; une seule relance (~19/10) si silence</t>
        </is>
      </c>
      <c r="O32" s="21" t="inlineStr">
        <is>
          <t>E-mail de prospection (tarif pro) du 12/10/2026 à 15:01 (copie reçue en SPAM).</t>
        </is>
      </c>
      <c r="P32" s="15" t="inlineStr">
        <is>
          <t>2e liste (12/10)</t>
        </is>
      </c>
      <c r="Q32" s="12" t="inlineStr">
        <is>
          <t>contact@mdy-france.com</t>
        </is>
      </c>
    </row>
    <row r="33" ht="41.25" customHeight="1" s="13">
      <c r="A33" s="15" t="n">
        <v>32</v>
      </c>
      <c r="B33" s="15" t="inlineStr">
        <is>
          <t>Pro France</t>
        </is>
      </c>
      <c r="C33" s="15" t="n">
        <v>1</v>
      </c>
      <c r="D33" s="15" t="inlineStr">
        <is>
          <t>Marbrerie</t>
        </is>
      </c>
      <c r="E33" s="15" t="inlineStr">
        <is>
          <t>Marbrier Pierre Taille (MPT)</t>
        </is>
      </c>
      <c r="F33" s="15" t="inlineStr">
        <is>
          <t>Chilly-Mazarin (91380)</t>
        </is>
      </c>
      <c r="G33" s="15" t="inlineStr">
        <is>
          <t>Île-de-France</t>
        </is>
      </c>
      <c r="H33" s="15" t="inlineStr">
        <is>
          <t>Fournisseur-poseur de pierres naturelles en sols et façades, avec des références hôtelières : il pourrait acheter MINYALA par lots pour ses dallages.</t>
        </is>
      </c>
      <c r="I33" s="20" t="inlineStr">
        <is>
          <t>www.mpt-marbrier.fr</t>
        </is>
      </c>
      <c r="J33" s="15" t="inlineStr">
        <is>
          <t>01 69 74 12 80</t>
        </is>
      </c>
      <c r="K33" s="20" t="inlineStr">
        <is>
          <t>Voir</t>
        </is>
      </c>
      <c r="L33" s="21" t="inlineStr">
        <is>
          <t>À contacter</t>
        </is>
      </c>
      <c r="M33" s="21" t="n"/>
      <c r="N33" s="21" t="n"/>
      <c r="O33" s="21" t="n"/>
      <c r="P33" s="15" t="inlineStr">
        <is>
          <t>3e liste (12/10)</t>
        </is>
      </c>
    </row>
    <row r="34" ht="15" customHeight="1" s="13">
      <c r="A34" s="15" t="n">
        <v>33</v>
      </c>
      <c r="B34" s="15" t="inlineStr">
        <is>
          <t>Pro France</t>
        </is>
      </c>
      <c r="C34" s="15" t="n">
        <v>1</v>
      </c>
      <c r="D34" s="15" t="inlineStr">
        <is>
          <t>Négoce / revendeur</t>
        </is>
      </c>
      <c r="E34" s="15" t="inlineStr">
        <is>
          <t>Natou Pierre</t>
        </is>
      </c>
      <c r="F34" s="15" t="inlineStr">
        <is>
          <t>Paris 17e (75017)</t>
        </is>
      </c>
      <c r="G34" s="15" t="inlineStr">
        <is>
          <t>Île-de-France</t>
        </is>
      </c>
      <c r="H34" s="15" t="inlineStr">
        <is>
          <t>Fourniture et pose de pierre.</t>
        </is>
      </c>
      <c r="I34" s="15" t="n"/>
      <c r="J34" s="15" t="n"/>
      <c r="K34" s="20" t="inlineStr">
        <is>
          <t>Voir</t>
        </is>
      </c>
      <c r="L34" s="21" t="inlineStr">
        <is>
          <t>À contacter</t>
        </is>
      </c>
      <c r="M34" s="21" t="n"/>
      <c r="N34" s="21" t="inlineStr">
        <is>
          <t>Prochain contact depuis la boîte Gmail (pas Hotmail), après fusion du suivi</t>
        </is>
      </c>
      <c r="O34" s="21" t="inlineStr">
        <is>
          <t>Rapprochement du 13/10 (autre assistant) : dernier envoi rejeté (échec de remise) — à confirmer, puis trouver une autre adresse. | [13/10] Tentative depuis Hotmail rejetée EN SORTIE (5.7.520 : contenu classé spam par Microsoft) — message non remis ; l'adresse n'est pas forcément invalide. Prochain contact depuis la boîte Gmail, nouveau modèle, jamais depuis Hotmail.</t>
        </is>
      </c>
      <c r="P34" s="15" t="inlineStr">
        <is>
          <t>1re liste (08/10)</t>
        </is>
      </c>
      <c r="Q34" s="12" t="inlineStr">
        <is>
          <t>contact@natoupierre.fr</t>
        </is>
      </c>
    </row>
    <row r="35" ht="41.25" customHeight="1" s="13">
      <c r="A35" s="15" t="n">
        <v>34</v>
      </c>
      <c r="B35" s="15" t="inlineStr">
        <is>
          <t>Pro France</t>
        </is>
      </c>
      <c r="C35" s="15" t="n">
        <v>1</v>
      </c>
      <c r="D35" s="15" t="inlineStr">
        <is>
          <t>Marbrerie</t>
        </is>
      </c>
      <c r="E35" s="15" t="inlineStr">
        <is>
          <t>PMC Marbrerie (Pierres Marbreries Carrelages)</t>
        </is>
      </c>
      <c r="F35" s="15" t="inlineStr">
        <is>
          <t>Montigny-lès-Cormeilles (95370)</t>
        </is>
      </c>
      <c r="G35" s="15" t="inlineStr">
        <is>
          <t>Île-de-France</t>
        </is>
      </c>
      <c r="H35" s="15" t="inlineStr">
        <is>
          <t>Cette marbrerie du Val-d'Oise vend déjà dallages et pierres naturelles depuis plus de 30 ans, donc un calcaire en stock au tarif professionnel (sur devis) peut compléter son offre de sols.</t>
        </is>
      </c>
      <c r="I35" s="20" t="inlineStr">
        <is>
          <t>www.pmc-marbrerie.com</t>
        </is>
      </c>
      <c r="J35" s="15" t="inlineStr">
        <is>
          <t>01 39 89 79 30</t>
        </is>
      </c>
      <c r="K35" s="20" t="inlineStr">
        <is>
          <t>Voir</t>
        </is>
      </c>
      <c r="L35" s="21" t="inlineStr">
        <is>
          <t>Contacté</t>
        </is>
      </c>
      <c r="M35" s="21" t="inlineStr">
        <is>
          <t>12/10/2026</t>
        </is>
      </c>
      <c r="N35" s="21" t="inlineStr">
        <is>
          <t>Vérifier la réponse dans la boîte Hotmail d'envoi ; une seule relance (~19/10) si silence</t>
        </is>
      </c>
      <c r="O35" s="21" t="inlineStr">
        <is>
          <t>E-mail de prospection (tarif pro) du 12/10/2026 à 14:58 (copie reçue en INBOX).</t>
        </is>
      </c>
      <c r="P35" s="15" t="inlineStr">
        <is>
          <t>2e liste (12/10)</t>
        </is>
      </c>
      <c r="Q35" s="12" t="inlineStr">
        <is>
          <t>contact@pmc-marbrerie.com</t>
        </is>
      </c>
    </row>
    <row r="36" ht="15" customHeight="1" s="13">
      <c r="A36" s="15" t="n">
        <v>35</v>
      </c>
      <c r="B36" s="15" t="inlineStr">
        <is>
          <t>Pro France</t>
        </is>
      </c>
      <c r="C36" s="15" t="n">
        <v>1</v>
      </c>
      <c r="D36" s="15" t="inlineStr">
        <is>
          <t>Négoce / revendeur</t>
        </is>
      </c>
      <c r="E36" s="15" t="inlineStr">
        <is>
          <t>Paco</t>
        </is>
      </c>
      <c r="F36" s="15" t="inlineStr">
        <is>
          <t>Courcouronnes (91080)</t>
        </is>
      </c>
      <c r="G36" s="15" t="inlineStr">
        <is>
          <t>Île-de-France</t>
        </is>
      </c>
      <c r="H36" s="15" t="inlineStr">
        <is>
          <t>Marbrerie et vente de carrelage et de dallage.</t>
        </is>
      </c>
      <c r="I36" s="15" t="n"/>
      <c r="J36" s="15" t="n"/>
      <c r="K36" s="20" t="inlineStr">
        <is>
          <t>Voir</t>
        </is>
      </c>
      <c r="L36" s="21" t="inlineStr">
        <is>
          <t>À contacter</t>
        </is>
      </c>
      <c r="M36" s="21" t="n"/>
      <c r="N36" s="21" t="inlineStr">
        <is>
          <t>Prochain contact depuis la boîte Gmail (pas Hotmail), après fusion du suivi</t>
        </is>
      </c>
      <c r="O36" s="21" t="inlineStr">
        <is>
          <t>Rapprochement du 13/10 (autre assistant) : dernier envoi rejeté (échec de remise) — à confirmer, puis trouver une autre adresse. | [13/10] Tentative depuis Hotmail rejetée EN SORTIE (5.7.520 : contenu classé spam par Microsoft) — message non remis ; l'adresse n'est pas forcément invalide. Prochain contact depuis la boîte Gmail, nouveau modèle, jamais depuis Hotmail.</t>
        </is>
      </c>
      <c r="P36" s="15" t="inlineStr">
        <is>
          <t>1re liste (08/10)</t>
        </is>
      </c>
      <c r="Q36" s="12" t="inlineStr">
        <is>
          <t>sarlpaco@wanadoo.fr</t>
        </is>
      </c>
    </row>
    <row r="37" ht="41.25" customHeight="1" s="13">
      <c r="A37" s="15" t="n">
        <v>36</v>
      </c>
      <c r="B37" s="15" t="inlineStr">
        <is>
          <t>Pro France</t>
        </is>
      </c>
      <c r="C37" s="15" t="n">
        <v>1</v>
      </c>
      <c r="D37" s="15" t="inlineStr">
        <is>
          <t>Showroom carrelage</t>
        </is>
      </c>
      <c r="E37" s="15" t="inlineStr">
        <is>
          <t>Palatino</t>
        </is>
      </c>
      <c r="F37" s="15" t="inlineStr">
        <is>
          <t>Nanterre (92000)</t>
        </is>
      </c>
      <c r="G37" s="15" t="inlineStr">
        <is>
          <t>Île-de-France</t>
        </is>
      </c>
      <c r="H37" s="15" t="inlineStr">
        <is>
          <t>Négociant en pierre naturelle à Nanterre, tout près de Gennevilliers, avec 1 500 m² de stockage, il peut racheter un lot complet de MINYALA pour sa clientèle.</t>
        </is>
      </c>
      <c r="I37" s="20" t="inlineStr">
        <is>
          <t>www.palatino.fr</t>
        </is>
      </c>
      <c r="J37" s="15" t="inlineStr">
        <is>
          <t>01 42 04 90 30</t>
        </is>
      </c>
      <c r="K37" s="20" t="inlineStr">
        <is>
          <t>Voir</t>
        </is>
      </c>
      <c r="L37" s="21" t="inlineStr">
        <is>
          <t>À rapprocher (export Hotmail)</t>
        </is>
      </c>
      <c r="M37" s="21" t="n"/>
      <c r="N37" s="21" t="inlineStr">
        <is>
          <t>Rapprocher l'export Hotmail (~180 messages / 95 destinataires) avant tout envoi ; ensuite, boîte Gmail uniquement</t>
        </is>
      </c>
      <c r="O37" s="21" t="inlineStr">
        <is>
          <t>[13/10] Page contact du site officiel (showroom Nanterre). | [13/10] Tentative depuis Hotmail rejetée EN SORTIE (5.7.520 : contenu classé spam par Microsoft) — message non remis ; l'adresse n'est pas forcément invalide. Prochain contact depuis la boîte Gmail, nouveau modèle, jamais depuis Hotmail. | [13/10 soir] L'export Hotmail recense des tentatives ultérieures vers cette adresse (issue non confirmée) : ne plus compter « jamais contacté » ; statut à arrêter au rapprochement de l'export.</t>
        </is>
      </c>
      <c r="P37" s="15" t="inlineStr">
        <is>
          <t>2e liste (12/10)</t>
        </is>
      </c>
      <c r="Q37" s="12" t="inlineStr">
        <is>
          <t>info@palatino.fr</t>
        </is>
      </c>
    </row>
    <row r="38" ht="41.25" customHeight="1" s="13">
      <c r="A38" s="15" t="n">
        <v>37</v>
      </c>
      <c r="B38" s="15" t="inlineStr">
        <is>
          <t>Pro France</t>
        </is>
      </c>
      <c r="C38" s="15" t="n">
        <v>1</v>
      </c>
      <c r="D38" s="15" t="inlineStr">
        <is>
          <t>Showroom carrelage</t>
        </is>
      </c>
      <c r="E38" s="15" t="inlineStr">
        <is>
          <t>Parquet-Carrelage.com (showroom Paris 17e)</t>
        </is>
      </c>
      <c r="F38" s="15" t="inlineStr">
        <is>
          <t>Paris (75017)</t>
        </is>
      </c>
      <c r="G38" s="15" t="inlineStr">
        <is>
          <t>Île-de-France</t>
        </is>
      </c>
      <c r="H38" s="15" t="inlineStr">
        <is>
          <t>Ce distributeur parisien de sols, avec un gros stock et plusieurs showrooms, référence déjà pierre naturelle et travertin : un débouché possible en volume pour MINYALA.</t>
        </is>
      </c>
      <c r="I38" s="20" t="inlineStr">
        <is>
          <t>www.parquet-carrelage.com</t>
        </is>
      </c>
      <c r="J38" s="15" t="inlineStr">
        <is>
          <t>01 48 82 58 58</t>
        </is>
      </c>
      <c r="K38" s="20" t="inlineStr">
        <is>
          <t>Voir</t>
        </is>
      </c>
      <c r="L38" s="21" t="inlineStr">
        <is>
          <t>Contacté</t>
        </is>
      </c>
      <c r="M38" s="21" t="inlineStr">
        <is>
          <t>12/10/2026</t>
        </is>
      </c>
      <c r="N38" s="21" t="inlineStr">
        <is>
          <t>Vérifier la réponse dans la boîte Hotmail d'envoi ; une seule relance (~19/10) si silence</t>
        </is>
      </c>
      <c r="O38" s="21" t="inlineStr">
        <is>
          <t>E-mail de prospection (tarif pro) du 12/10/2026 à 15:01 (copie reçue en INBOX).</t>
        </is>
      </c>
      <c r="P38" s="15" t="inlineStr">
        <is>
          <t>2e liste (12/10)</t>
        </is>
      </c>
      <c r="Q38" s="12" t="inlineStr">
        <is>
          <t>contact@parquet-carrelage.com</t>
        </is>
      </c>
    </row>
    <row r="39" ht="41.25" customHeight="1" s="13">
      <c r="A39" s="15" t="n">
        <v>38</v>
      </c>
      <c r="B39" s="15" t="inlineStr">
        <is>
          <t>Pro France</t>
        </is>
      </c>
      <c r="C39" s="15" t="n">
        <v>1</v>
      </c>
      <c r="D39" s="15" t="inlineStr">
        <is>
          <t>Négoce / revendeur</t>
        </is>
      </c>
      <c r="E39" s="15" t="inlineStr">
        <is>
          <t>Pierlux</t>
        </is>
      </c>
      <c r="F39" s="15" t="inlineStr">
        <is>
          <t>Auvers-Saint-Georges (91580)</t>
        </is>
      </c>
      <c r="G39" s="15" t="inlineStr">
        <is>
          <t>Île-de-France</t>
        </is>
      </c>
      <c r="H39" s="15" t="inlineStr">
        <is>
          <t>Négociant en pierres naturelles et matériaux d'aménagement extérieur qui fournit artisans, paysagistes et architectes, il pourrait référencer MINYALA dans sa gamme de dallages.</t>
        </is>
      </c>
      <c r="I39" s="20" t="inlineStr">
        <is>
          <t>www.pierluxpierrenaturelle.fr</t>
        </is>
      </c>
      <c r="J39" s="15" t="inlineStr">
        <is>
          <t>01 64 92 06 33</t>
        </is>
      </c>
      <c r="K39" s="20" t="inlineStr">
        <is>
          <t>Voir</t>
        </is>
      </c>
      <c r="L39" s="21" t="inlineStr">
        <is>
          <t>À contacter</t>
        </is>
      </c>
      <c r="M39" s="21" t="n"/>
      <c r="N39" s="21" t="n"/>
      <c r="O39" s="21" t="inlineStr">
        <is>
          <t>[13/10] Page contact du site officiel.</t>
        </is>
      </c>
      <c r="P39" s="15" t="inlineStr">
        <is>
          <t>3e liste (12/10)</t>
        </is>
      </c>
      <c r="Q39" s="12" t="inlineStr">
        <is>
          <t>pierluxfrance@orange.fr</t>
        </is>
      </c>
    </row>
    <row r="40" ht="54.75" customHeight="1" s="13">
      <c r="A40" s="15" t="n">
        <v>39</v>
      </c>
      <c r="B40" s="15" t="inlineStr">
        <is>
          <t>Pro France</t>
        </is>
      </c>
      <c r="C40" s="15" t="n">
        <v>1</v>
      </c>
      <c r="D40" s="15" t="inlineStr">
        <is>
          <t>Jardinerie / matériaux paysage</t>
        </is>
      </c>
      <c r="E40" s="15" t="inlineStr">
        <is>
          <t>Pierres Nat'</t>
        </is>
      </c>
      <c r="F40" s="15" t="inlineStr">
        <is>
          <t>Linas (91310)</t>
        </is>
      </c>
      <c r="G40" s="15" t="inlineStr">
        <is>
          <t>Île-de-France</t>
        </is>
      </c>
      <c r="H40" s="15" t="inlineStr">
        <is>
          <t>Revendeur de pierre naturelle depuis 1994 avec un showroom extérieur de 2 500 m² et une clientèle de professionnels et de particuliers, il pourrait revendre MINYALA en dallage de terrasse et d'allée.</t>
        </is>
      </c>
      <c r="I40" s="20" t="inlineStr">
        <is>
          <t>pierres-nat.com</t>
        </is>
      </c>
      <c r="J40" s="15" t="inlineStr">
        <is>
          <t>01 69 80 68 15</t>
        </is>
      </c>
      <c r="K40" s="20" t="inlineStr">
        <is>
          <t>Voir</t>
        </is>
      </c>
      <c r="L40" s="21" t="inlineStr">
        <is>
          <t>À contacter</t>
        </is>
      </c>
      <c r="M40" s="21" t="n"/>
      <c r="N40" s="21" t="n"/>
      <c r="O40" s="21" t="n"/>
      <c r="P40" s="15" t="inlineStr">
        <is>
          <t>3e liste (12/10)</t>
        </is>
      </c>
    </row>
    <row r="41" ht="54.75" customHeight="1" s="13">
      <c r="A41" s="15" t="n">
        <v>40</v>
      </c>
      <c r="B41" s="15" t="inlineStr">
        <is>
          <t>Pro France</t>
        </is>
      </c>
      <c r="C41" s="15" t="n">
        <v>1</v>
      </c>
      <c r="D41" s="15" t="inlineStr">
        <is>
          <t>Showroom carrelage</t>
        </is>
      </c>
      <c r="E41" s="15" t="inlineStr">
        <is>
          <t>Qua Ceramic</t>
        </is>
      </c>
      <c r="F41" s="15" t="inlineStr">
        <is>
          <t>Piscop (95350)</t>
        </is>
      </c>
      <c r="G41" s="15" t="inlineStr">
        <is>
          <t>Île-de-France</t>
        </is>
      </c>
      <c r="H41" s="15" t="inlineStr">
        <is>
          <t>Revendeur de carrelages et dallages pour terrasses et piscines qui propose déjà travertin et pierre : un calcaire crème comme MINYALA pourrait compléter sa gamme (usage à valider avec lui : finition, gel, glissance, humidité).</t>
        </is>
      </c>
      <c r="I41" s="15" t="n"/>
      <c r="J41" s="15" t="n"/>
      <c r="K41" s="20" t="inlineStr">
        <is>
          <t>Voir</t>
        </is>
      </c>
      <c r="L41" s="21" t="inlineStr">
        <is>
          <t>Contacté</t>
        </is>
      </c>
      <c r="M41" s="21" t="inlineStr">
        <is>
          <t>12/10/2026</t>
        </is>
      </c>
      <c r="N41" s="21" t="inlineStr">
        <is>
          <t>Vérifier la réponse dans la boîte Hotmail d'envoi ; une seule relance (~19/10) si silence</t>
        </is>
      </c>
      <c r="O41" s="21" t="inlineStr">
        <is>
          <t>E-mail de prospection (tarif pro) du 12/10/2026 à 15:04 (copie reçue en SPAM).</t>
        </is>
      </c>
      <c r="P41" s="15" t="inlineStr">
        <is>
          <t>3e liste (12/10)</t>
        </is>
      </c>
      <c r="Q41" s="12" t="inlineStr">
        <is>
          <t>qua.ceramic@gmail.com</t>
        </is>
      </c>
    </row>
    <row r="42" ht="41.25" customHeight="1" s="13">
      <c r="A42" s="15" t="n">
        <v>41</v>
      </c>
      <c r="B42" s="15" t="inlineStr">
        <is>
          <t>Pro France</t>
        </is>
      </c>
      <c r="C42" s="15" t="n">
        <v>1</v>
      </c>
      <c r="D42" s="15" t="inlineStr">
        <is>
          <t>Négoce / revendeur</t>
        </is>
      </c>
      <c r="E42" s="15" t="inlineStr">
        <is>
          <t>Raboni (Le Studio Raboni)</t>
        </is>
      </c>
      <c r="F42" s="15" t="inlineStr">
        <is>
          <t>Boulogne-Billancourt (92100)</t>
        </is>
      </c>
      <c r="G42" s="15" t="inlineStr">
        <is>
          <t>Île-de-France</t>
        </is>
      </c>
      <c r="H42" s="15" t="inlineStr">
        <is>
          <t>Négoce francilien multi-agences avec un showroom carrelage (Studio Raboni) et une offre de carrelages et dallages, capable de référencer un lot de MINYALA pour ses clients pros et particuliers.</t>
        </is>
      </c>
      <c r="I42" s="20" t="inlineStr">
        <is>
          <t>raboni.fr</t>
        </is>
      </c>
      <c r="J42" s="15" t="n"/>
      <c r="K42" s="20" t="inlineStr">
        <is>
          <t>Voir</t>
        </is>
      </c>
      <c r="L42" s="21" t="inlineStr">
        <is>
          <t>À contacter</t>
        </is>
      </c>
      <c r="M42" s="21" t="n"/>
      <c r="N42" s="21" t="n"/>
      <c r="O42" s="21" t="n"/>
      <c r="P42" s="15" t="inlineStr">
        <is>
          <t>3e liste (12/10)</t>
        </is>
      </c>
    </row>
    <row r="43" ht="41.25" customHeight="1" s="13">
      <c r="A43" s="15" t="n">
        <v>42</v>
      </c>
      <c r="B43" s="15" t="inlineStr">
        <is>
          <t>Pro France</t>
        </is>
      </c>
      <c r="C43" s="15" t="n">
        <v>1</v>
      </c>
      <c r="D43" s="15" t="inlineStr">
        <is>
          <t>Paysagiste</t>
        </is>
      </c>
      <c r="E43" s="15" t="inlineStr">
        <is>
          <t>Sauvaje</t>
        </is>
      </c>
      <c r="F43" s="15" t="inlineStr">
        <is>
          <t>Magny-les-Hameaux (78114)</t>
        </is>
      </c>
      <c r="G43" s="15" t="inlineStr">
        <is>
          <t>Île-de-France</t>
        </is>
      </c>
      <c r="H43" s="15" t="inlineStr">
        <is>
          <t>Ce paysagiste fondé en 1987, qui fait du dallage et des terrasses pour des particuliers, des sièges d'entreprise et des palaces, peut commander MINYALA en volume.</t>
        </is>
      </c>
      <c r="I43" s="20" t="inlineStr">
        <is>
          <t>www.sauvaje.fr</t>
        </is>
      </c>
      <c r="J43" s="15" t="inlineStr">
        <is>
          <t>01 39 44 99 33</t>
        </is>
      </c>
      <c r="K43" s="20" t="inlineStr">
        <is>
          <t>Voir</t>
        </is>
      </c>
      <c r="L43" s="21" t="inlineStr">
        <is>
          <t>Contacté</t>
        </is>
      </c>
      <c r="M43" s="21" t="inlineStr">
        <is>
          <t>12/10/2026</t>
        </is>
      </c>
      <c r="N43" s="21" t="inlineStr">
        <is>
          <t>Vérifier la réponse dans la boîte Hotmail d'envoi ; une seule relance (~19/10) si silence</t>
        </is>
      </c>
      <c r="O43" s="21" t="inlineStr">
        <is>
          <t>E-mail de prospection (tarif pro) du 12/10/2026 à 14:59 (copie reçue en SPAM).</t>
        </is>
      </c>
      <c r="P43" s="15" t="inlineStr">
        <is>
          <t>2e liste (12/10)</t>
        </is>
      </c>
      <c r="Q43" s="12" t="inlineStr">
        <is>
          <t>contact@sauvaje.fr</t>
        </is>
      </c>
    </row>
    <row r="44" ht="41.25" customHeight="1" s="13">
      <c r="A44" s="15" t="n">
        <v>43</v>
      </c>
      <c r="B44" s="15" t="inlineStr">
        <is>
          <t>Pro France</t>
        </is>
      </c>
      <c r="C44" s="15" t="n">
        <v>1</v>
      </c>
      <c r="D44" s="15" t="inlineStr">
        <is>
          <t>Négoce / revendeur</t>
        </is>
      </c>
      <c r="E44" s="15" t="inlineStr">
        <is>
          <t>Société Nouvelle NMC (SNNMC)</t>
        </is>
      </c>
      <c r="F44" s="15" t="inlineStr">
        <is>
          <t>Argenteuil (95100)</t>
        </is>
      </c>
      <c r="G44" s="15" t="inlineStr">
        <is>
          <t>Île-de-France</t>
        </is>
      </c>
      <c r="H44" s="15" t="inlineStr">
        <is>
          <t>Ce négoce d'Argenteuil, voisin de Gennevilliers, vend carrelages et dallages en pierre aux artisans et particuliers et pratique le déstockage : il peut écouler un lot de MINYALA.</t>
        </is>
      </c>
      <c r="I44" s="20" t="inlineStr">
        <is>
          <t>negoce.france-materiaux.fr/369-societe-nouvelle-nmc</t>
        </is>
      </c>
      <c r="J44" s="15" t="inlineStr">
        <is>
          <t>01 39 81 60 33</t>
        </is>
      </c>
      <c r="K44" s="20" t="inlineStr">
        <is>
          <t>Voir</t>
        </is>
      </c>
      <c r="L44" s="21" t="inlineStr">
        <is>
          <t>À contacter</t>
        </is>
      </c>
      <c r="M44" s="21" t="n"/>
      <c r="N44" s="21" t="n"/>
      <c r="O44" s="21" t="inlineStr">
        <is>
          <t>[13/10] Aucun e-mail propre à SNNMC publié : formulaire sur la fiche France Matériaux, ou téléphone.</t>
        </is>
      </c>
      <c r="P44" s="15" t="inlineStr">
        <is>
          <t>2e liste (12/10)</t>
        </is>
      </c>
    </row>
    <row r="45" ht="15" customHeight="1" s="13">
      <c r="A45" s="15" t="n">
        <v>44</v>
      </c>
      <c r="B45" s="15" t="inlineStr">
        <is>
          <t>Pro France</t>
        </is>
      </c>
      <c r="C45" s="15" t="n">
        <v>2</v>
      </c>
      <c r="D45" s="15" t="inlineStr">
        <is>
          <t>Paysagiste</t>
        </is>
      </c>
      <c r="E45" s="15" t="inlineStr">
        <is>
          <t>ABG Allée - Jardin - Terrasse</t>
        </is>
      </c>
      <c r="F45" s="15" t="inlineStr">
        <is>
          <t>Vexin-sur-Epte (27630)</t>
        </is>
      </c>
      <c r="G45" s="15" t="inlineStr">
        <is>
          <t>Normandie</t>
        </is>
      </c>
      <c r="H45" s="15" t="inlineStr">
        <is>
          <t>Terrassement, maçonnerie et aménagement extérieur.</t>
        </is>
      </c>
      <c r="I45" s="15" t="n"/>
      <c r="J45" s="15" t="n"/>
      <c r="K45" s="20" t="inlineStr">
        <is>
          <t>Voir</t>
        </is>
      </c>
      <c r="L45" s="21" t="inlineStr">
        <is>
          <t>À contacter</t>
        </is>
      </c>
      <c r="M45" s="21" t="n"/>
      <c r="N45" s="21" t="n"/>
      <c r="O45" s="21" t="n"/>
      <c r="P45" s="15" t="inlineStr">
        <is>
          <t>1re liste (08/10)</t>
        </is>
      </c>
    </row>
    <row r="46" ht="54.75" customHeight="1" s="13">
      <c r="A46" s="15" t="n">
        <v>45</v>
      </c>
      <c r="B46" s="15" t="inlineStr">
        <is>
          <t>Pro France</t>
        </is>
      </c>
      <c r="C46" s="15" t="n">
        <v>2</v>
      </c>
      <c r="D46" s="15" t="inlineStr">
        <is>
          <t>Rénovation haut de gamme</t>
        </is>
      </c>
      <c r="E46" s="15" t="inlineStr">
        <is>
          <t>Architéa Pays d'Auge - Côte Fleurie</t>
        </is>
      </c>
      <c r="F46" s="15" t="inlineStr">
        <is>
          <t>Saint-Julien-de-Mailloc (14290)</t>
        </is>
      </c>
      <c r="G46" s="15" t="inlineStr">
        <is>
          <t>Normandie</t>
        </is>
      </c>
      <c r="H46" s="15" t="inlineStr">
        <is>
          <t>Contractant général qui rénove manoirs, hôtels et restaurants de prestige et crée des piscines avec terrasses en matériaux nobles : il pourrait prescrire MINYALA pour les sols et abords de piscine (usage à valider avec lui : finition, gel, glissance, humidité).</t>
        </is>
      </c>
      <c r="I46" s="20" t="inlineStr">
        <is>
          <t>www.architea.fr/architea-pays-auge-cote-fleurie</t>
        </is>
      </c>
      <c r="J46" s="15" t="inlineStr">
        <is>
          <t>02 52 56 30 33</t>
        </is>
      </c>
      <c r="K46" s="20" t="inlineStr">
        <is>
          <t>Voir</t>
        </is>
      </c>
      <c r="L46" s="21" t="inlineStr">
        <is>
          <t>À contacter</t>
        </is>
      </c>
      <c r="M46" s="21" t="n"/>
      <c r="N46" s="21" t="n"/>
      <c r="O46" s="21" t="n"/>
      <c r="P46" s="15" t="inlineStr">
        <is>
          <t>3e liste (12/10)</t>
        </is>
      </c>
    </row>
    <row r="47" ht="41.25" customHeight="1" s="13">
      <c r="A47" s="15" t="n">
        <v>46</v>
      </c>
      <c r="B47" s="15" t="inlineStr">
        <is>
          <t>Pro France</t>
        </is>
      </c>
      <c r="C47" s="15" t="n">
        <v>2</v>
      </c>
      <c r="D47" s="15" t="inlineStr">
        <is>
          <t>Architecte d'intérieur</t>
        </is>
      </c>
      <c r="E47" s="15" t="inlineStr">
        <is>
          <t>Arcytis (Ollivier Bidon-Maraboeuf)</t>
        </is>
      </c>
      <c r="F47" s="15" t="inlineStr">
        <is>
          <t>Caen (14000)</t>
        </is>
      </c>
      <c r="G47" s="15" t="inlineStr">
        <is>
          <t>Normandie</t>
        </is>
      </c>
      <c r="H47" s="15" t="inlineStr">
        <is>
          <t>Cette agence caennaise aménage hôtels, restaurants et commerces (Mercure Caen notamment) : elle peut prescrire MINYALA en sol de hall, de boutique ou de restaurant.</t>
        </is>
      </c>
      <c r="I47" s="20" t="inlineStr">
        <is>
          <t>www.arcytis.com</t>
        </is>
      </c>
      <c r="J47" s="15" t="inlineStr">
        <is>
          <t>02 31 39 54 01</t>
        </is>
      </c>
      <c r="K47" s="20" t="inlineStr">
        <is>
          <t>Voir</t>
        </is>
      </c>
      <c r="L47" s="21" t="inlineStr">
        <is>
          <t>À contacter</t>
        </is>
      </c>
      <c r="M47" s="21" t="n"/>
      <c r="N47" s="21" t="n"/>
      <c r="O47" s="21" t="n"/>
      <c r="P47" s="15" t="inlineStr">
        <is>
          <t>2e liste (12/10)</t>
        </is>
      </c>
    </row>
    <row r="48" ht="41.25" customHeight="1" s="13">
      <c r="A48" s="15" t="n">
        <v>47</v>
      </c>
      <c r="B48" s="15" t="inlineStr">
        <is>
          <t>Pro France</t>
        </is>
      </c>
      <c r="C48" s="15" t="n">
        <v>2</v>
      </c>
      <c r="D48" s="15" t="inlineStr">
        <is>
          <t>Rénovation haut de gamme</t>
        </is>
      </c>
      <c r="E48" s="15" t="inlineStr">
        <is>
          <t>Argiles Décoration</t>
        </is>
      </c>
      <c r="F48" s="15" t="inlineStr">
        <is>
          <t>Les Préaux (27500)</t>
        </is>
      </c>
      <c r="G48" s="15" t="inlineStr">
        <is>
          <t>Normandie</t>
        </is>
      </c>
      <c r="H48" s="15" t="inlineStr">
        <is>
          <t>Entreprise générale de rénovation près de Pont-Audemer spécialisée dans les maisons anciennes et les sols en pierre ou en tomettes, elle pourrait utiliser MINYALA dans ses rénovations normandes.</t>
        </is>
      </c>
      <c r="I48" s="20" t="inlineStr">
        <is>
          <t>www.argilesdecoration.com</t>
        </is>
      </c>
      <c r="J48" s="15" t="inlineStr">
        <is>
          <t>06 76 31 86 41</t>
        </is>
      </c>
      <c r="K48" s="20" t="inlineStr">
        <is>
          <t>Voir</t>
        </is>
      </c>
      <c r="L48" s="21" t="inlineStr">
        <is>
          <t>À contacter</t>
        </is>
      </c>
      <c r="M48" s="21" t="n"/>
      <c r="N48" s="21" t="n"/>
      <c r="O48" s="21" t="n"/>
      <c r="P48" s="15" t="inlineStr">
        <is>
          <t>3e liste (12/10)</t>
        </is>
      </c>
    </row>
    <row r="49" ht="41.25" customHeight="1" s="13">
      <c r="A49" s="15" t="n">
        <v>48</v>
      </c>
      <c r="B49" s="15" t="inlineStr">
        <is>
          <t>Pro France</t>
        </is>
      </c>
      <c r="C49" s="15" t="n">
        <v>2</v>
      </c>
      <c r="D49" s="15" t="inlineStr">
        <is>
          <t>Architecte</t>
        </is>
      </c>
      <c r="E49" s="15" t="inlineStr">
        <is>
          <t>Atelier Hemon Architectes</t>
        </is>
      </c>
      <c r="F49" s="15" t="inlineStr">
        <is>
          <t>Saint-Gatien-des-Bois (14130)</t>
        </is>
      </c>
      <c r="G49" s="15" t="inlineStr">
        <is>
          <t>Normandie</t>
        </is>
      </c>
      <c r="H49" s="15" t="inlineStr">
        <is>
          <t>Cet atelier d'architecture de la région de Deauville, avec plus de 2 000 projets dont des hôtels et des maisons haut de gamme, peut prescrire MINYALA sur des chantiers importants.</t>
        </is>
      </c>
      <c r="I49" s="20" t="inlineStr">
        <is>
          <t>www.hemon-architectes.com</t>
        </is>
      </c>
      <c r="J49" s="15" t="inlineStr">
        <is>
          <t>02 31 89 18 27</t>
        </is>
      </c>
      <c r="K49" s="20" t="inlineStr">
        <is>
          <t>Voir</t>
        </is>
      </c>
      <c r="L49" s="21" t="inlineStr">
        <is>
          <t>À contacter</t>
        </is>
      </c>
      <c r="M49" s="21" t="n"/>
      <c r="N49" s="21" t="n"/>
      <c r="O49" s="21" t="n"/>
      <c r="P49" s="15" t="inlineStr">
        <is>
          <t>2e liste (12/10)</t>
        </is>
      </c>
    </row>
    <row r="50" ht="41.25" customHeight="1" s="13">
      <c r="A50" s="15" t="n">
        <v>49</v>
      </c>
      <c r="B50" s="15" t="inlineStr">
        <is>
          <t>Pro France</t>
        </is>
      </c>
      <c r="C50" s="15" t="n">
        <v>2</v>
      </c>
      <c r="D50" s="15" t="inlineStr">
        <is>
          <t>Marbrerie</t>
        </is>
      </c>
      <c r="E50" s="15" t="inlineStr">
        <is>
          <t>Atelier de la Pierre Marbre et Granits</t>
        </is>
      </c>
      <c r="F50" s="15" t="inlineStr">
        <is>
          <t>Hérouvillette (14850)</t>
        </is>
      </c>
      <c r="G50" s="15" t="inlineStr">
        <is>
          <t>Normandie</t>
        </is>
      </c>
      <c r="H50" s="15" t="inlineStr">
        <is>
          <t>Cette marbrerie près de Caen et de Cabourg vend et pose pierres naturelles et revêtements de sol depuis 1987, donc elle peut proposer MINYALA à ses clients.</t>
        </is>
      </c>
      <c r="I50" s="20" t="inlineStr">
        <is>
          <t>atelierdelapierremarbreetgranits.site-solocal.com</t>
        </is>
      </c>
      <c r="J50" s="15" t="inlineStr">
        <is>
          <t>02 31 78 82 93</t>
        </is>
      </c>
      <c r="K50" s="20" t="inlineStr">
        <is>
          <t>Voir</t>
        </is>
      </c>
      <c r="L50" s="21" t="inlineStr">
        <is>
          <t>À contacter</t>
        </is>
      </c>
      <c r="M50" s="21" t="n"/>
      <c r="N50" s="21" t="n"/>
      <c r="O50" s="21" t="n"/>
      <c r="P50" s="15" t="inlineStr">
        <is>
          <t>2e liste (12/10)</t>
        </is>
      </c>
    </row>
    <row r="51" ht="41.25" customHeight="1" s="13">
      <c r="A51" s="15" t="n">
        <v>50</v>
      </c>
      <c r="B51" s="15" t="inlineStr">
        <is>
          <t>Pro France</t>
        </is>
      </c>
      <c r="C51" s="15" t="n">
        <v>2</v>
      </c>
      <c r="D51" s="15" t="inlineStr">
        <is>
          <t>Paysagiste</t>
        </is>
      </c>
      <c r="E51" s="15" t="inlineStr">
        <is>
          <t>Barbedette Paysage (Barbedette Jardins)</t>
        </is>
      </c>
      <c r="F51" s="15" t="inlineStr">
        <is>
          <t>Gravigny (27930)</t>
        </is>
      </c>
      <c r="G51" s="15" t="inlineStr">
        <is>
          <t>Normandie</t>
        </is>
      </c>
      <c r="H51" s="15" t="inlineStr">
        <is>
          <t>Ce paysagiste de l'agglomération d'Évreux, actif depuis 1987, réalise dallages, terrasses et maçonnerie paysagère et peut utiliser MINYALA sur ses chantiers.</t>
        </is>
      </c>
      <c r="I51" s="20" t="inlineStr">
        <is>
          <t>barbedettepaysage.fr</t>
        </is>
      </c>
      <c r="J51" s="15" t="inlineStr">
        <is>
          <t>02 32 33 01 51</t>
        </is>
      </c>
      <c r="K51" s="20" t="inlineStr">
        <is>
          <t>Voir</t>
        </is>
      </c>
      <c r="L51" s="21" t="inlineStr">
        <is>
          <t>À contacter</t>
        </is>
      </c>
      <c r="M51" s="21" t="n"/>
      <c r="N51" s="21" t="n"/>
      <c r="O51" s="21" t="n"/>
      <c r="P51" s="15" t="inlineStr">
        <is>
          <t>2e liste (12/10)</t>
        </is>
      </c>
    </row>
    <row r="52" ht="54.75" customHeight="1" s="13">
      <c r="A52" s="15" t="n">
        <v>51</v>
      </c>
      <c r="B52" s="15" t="inlineStr">
        <is>
          <t>Pro France</t>
        </is>
      </c>
      <c r="C52" s="15" t="n">
        <v>2</v>
      </c>
      <c r="D52" s="15" t="inlineStr">
        <is>
          <t>Paysagiste</t>
        </is>
      </c>
      <c r="E52" s="15" t="inlineStr">
        <is>
          <t>Bertrand Dufour Paysages</t>
        </is>
      </c>
      <c r="F52" s="15" t="inlineStr">
        <is>
          <t>Trouville-sur-Mer (14360)</t>
        </is>
      </c>
      <c r="G52" s="15" t="inlineStr">
        <is>
          <t>Normandie</t>
        </is>
      </c>
      <c r="H52" s="15" t="inlineStr">
        <is>
          <t>Paysagiste de Trouville qui réalise allées pavées, dallage de jardin et aménagements autour des piscines : MINYALA pourrait servir en terrasse et en abords de piscine selon la finition et la pose (usage à valider avec lui : finition, gel, glissance, humidité).</t>
        </is>
      </c>
      <c r="I52" s="15" t="n"/>
      <c r="J52" s="15" t="inlineStr">
        <is>
          <t>06 58 42 48 61</t>
        </is>
      </c>
      <c r="K52" s="20" t="inlineStr">
        <is>
          <t>Voir</t>
        </is>
      </c>
      <c r="L52" s="21" t="inlineStr">
        <is>
          <t>À contacter</t>
        </is>
      </c>
      <c r="M52" s="21" t="n"/>
      <c r="N52" s="21" t="n"/>
      <c r="O52" s="21" t="n"/>
      <c r="P52" s="15" t="inlineStr">
        <is>
          <t>3e liste (12/10)</t>
        </is>
      </c>
    </row>
    <row r="53" ht="68.25" customHeight="1" s="13">
      <c r="A53" s="15" t="n">
        <v>52</v>
      </c>
      <c r="B53" s="15" t="inlineStr">
        <is>
          <t>Pro France</t>
        </is>
      </c>
      <c r="C53" s="15" t="n">
        <v>2</v>
      </c>
      <c r="D53" s="15" t="inlineStr">
        <is>
          <t>Spa / hammam</t>
        </is>
      </c>
      <c r="E53" s="15" t="inlineStr">
        <is>
          <t>Bien-Être &amp; Confort</t>
        </is>
      </c>
      <c r="F53" s="15" t="inlineStr">
        <is>
          <t>Bretteville-l'Orgueilleuse (14740)</t>
        </is>
      </c>
      <c r="G53" s="15" t="inlineStr">
        <is>
          <t>Normandie</t>
        </is>
      </c>
      <c r="H53" s="15" t="inlineStr">
        <is>
          <t>Fabricant normand de hammams et saunas sur mesure pour hôtels et particuliers, dont les hammams traditionnels sont habillés de carrelage ou de marbre : il pourrait prescrire MINYALA dans les espaces bien-être qu'il aménage (usage à valider avec lui : finition, gel, glissance, humidité).</t>
        </is>
      </c>
      <c r="I53" s="20" t="inlineStr">
        <is>
          <t>www.bienetreconfort.fr</t>
        </is>
      </c>
      <c r="J53" s="15" t="inlineStr">
        <is>
          <t>02 31 51 15 70</t>
        </is>
      </c>
      <c r="K53" s="20" t="inlineStr">
        <is>
          <t>Voir</t>
        </is>
      </c>
      <c r="L53" s="21" t="inlineStr">
        <is>
          <t>À contacter</t>
        </is>
      </c>
      <c r="M53" s="21" t="n"/>
      <c r="N53" s="21" t="n"/>
      <c r="O53" s="21" t="n"/>
      <c r="P53" s="15" t="inlineStr">
        <is>
          <t>3e liste (12/10)</t>
        </is>
      </c>
    </row>
    <row r="54" ht="41.25" customHeight="1" s="13">
      <c r="A54" s="15" t="n">
        <v>53</v>
      </c>
      <c r="B54" s="15" t="inlineStr">
        <is>
          <t>Pro France</t>
        </is>
      </c>
      <c r="C54" s="15" t="n">
        <v>2</v>
      </c>
      <c r="D54" s="15" t="inlineStr">
        <is>
          <t>Négoce / revendeur</t>
        </is>
      </c>
      <c r="E54" s="15" t="inlineStr">
        <is>
          <t>BigMat Guillot et Cie</t>
        </is>
      </c>
      <c r="F54" s="15" t="inlineStr">
        <is>
          <t>Ézy-sur-Eure (27530)</t>
        </is>
      </c>
      <c r="G54" s="15" t="inlineStr">
        <is>
          <t>Normandie</t>
        </is>
      </c>
      <c r="H54" s="15" t="inlineStr">
        <is>
          <t>Négoce BigMat de l'Eure avec rayons carrelage et aménagement extérieur tenus par des vendeurs spécialisés, il pourrait stocker MINYALA pour ses artisans et ses particuliers.</t>
        </is>
      </c>
      <c r="I54" s="15" t="n"/>
      <c r="J54" s="15" t="inlineStr">
        <is>
          <t>02 37 64 71 47</t>
        </is>
      </c>
      <c r="K54" s="20" t="inlineStr">
        <is>
          <t>Voir</t>
        </is>
      </c>
      <c r="L54" s="21" t="inlineStr">
        <is>
          <t>À contacter</t>
        </is>
      </c>
      <c r="M54" s="21" t="n"/>
      <c r="N54" s="21" t="n"/>
      <c r="O54" s="21" t="n"/>
      <c r="P54" s="15" t="inlineStr">
        <is>
          <t>3e liste (12/10)</t>
        </is>
      </c>
    </row>
    <row r="55" ht="41.25" customHeight="1" s="13">
      <c r="A55" s="15" t="n">
        <v>54</v>
      </c>
      <c r="B55" s="15" t="inlineStr">
        <is>
          <t>Pro France</t>
        </is>
      </c>
      <c r="C55" s="15" t="n">
        <v>2</v>
      </c>
      <c r="D55" s="15" t="inlineStr">
        <is>
          <t>Pisciniste</t>
        </is>
      </c>
      <c r="E55" s="15" t="inlineStr">
        <is>
          <t>Bohin Jardin</t>
        </is>
      </c>
      <c r="F55" s="15" t="inlineStr">
        <is>
          <t>Bacqueville-en-Caux (76730)</t>
        </is>
      </c>
      <c r="G55" s="15" t="inlineStr">
        <is>
          <t>Normandie</t>
        </is>
      </c>
      <c r="H55" s="15" t="inlineStr">
        <is>
          <t>Ce constructeur de piscines béton haut de gamme de Seine-Maritime réalise déjà des terrasses et plages de piscine en grandes dalles, un usage possible de MINYALA selon finition et pose.</t>
        </is>
      </c>
      <c r="I55" s="20" t="inlineStr">
        <is>
          <t>www.bohinjardin.fr</t>
        </is>
      </c>
      <c r="J55" s="15" t="inlineStr">
        <is>
          <t>02 34 88 23 41</t>
        </is>
      </c>
      <c r="K55" s="20" t="inlineStr">
        <is>
          <t>Voir</t>
        </is>
      </c>
      <c r="L55" s="21" t="inlineStr">
        <is>
          <t>À contacter</t>
        </is>
      </c>
      <c r="M55" s="21" t="n"/>
      <c r="N55" s="21" t="n"/>
      <c r="O55" s="21" t="n"/>
      <c r="P55" s="15" t="inlineStr">
        <is>
          <t>2e liste (12/10)</t>
        </is>
      </c>
    </row>
    <row r="56" ht="41.25" customHeight="1" s="13">
      <c r="A56" s="15" t="n">
        <v>55</v>
      </c>
      <c r="B56" s="15" t="inlineStr">
        <is>
          <t>Pro France</t>
        </is>
      </c>
      <c r="C56" s="15" t="n">
        <v>2</v>
      </c>
      <c r="D56" s="15" t="inlineStr">
        <is>
          <t>Paysagiste</t>
        </is>
      </c>
      <c r="E56" s="15" t="inlineStr">
        <is>
          <t>Boivent Paysages</t>
        </is>
      </c>
      <c r="F56" s="15" t="inlineStr">
        <is>
          <t>Touques (14800)</t>
        </is>
      </c>
      <c r="G56" s="15" t="inlineStr">
        <is>
          <t>Normandie</t>
        </is>
      </c>
      <c r="H56" s="15" t="inlineStr">
        <is>
          <t>Paysagiste certifié Qualipaysage installé près de Deauville qui réalise dallage de jardin, maçonnerie paysagère et terrasses, MINYALA pourrait lui servir en terrasses et allées.</t>
        </is>
      </c>
      <c r="I56" s="15" t="n"/>
      <c r="J56" s="15" t="inlineStr">
        <is>
          <t>06 85 98 62 55</t>
        </is>
      </c>
      <c r="K56" s="20" t="inlineStr">
        <is>
          <t>Voir</t>
        </is>
      </c>
      <c r="L56" s="21" t="inlineStr">
        <is>
          <t>À contacter</t>
        </is>
      </c>
      <c r="M56" s="21" t="n"/>
      <c r="N56" s="21" t="n"/>
      <c r="O56" s="21" t="n"/>
      <c r="P56" s="15" t="inlineStr">
        <is>
          <t>3e liste (12/10)</t>
        </is>
      </c>
    </row>
    <row r="57" ht="41.25" customHeight="1" s="13">
      <c r="A57" s="15" t="n">
        <v>56</v>
      </c>
      <c r="B57" s="15" t="inlineStr">
        <is>
          <t>Pro France</t>
        </is>
      </c>
      <c r="C57" s="15" t="n">
        <v>2</v>
      </c>
      <c r="D57" s="15" t="inlineStr">
        <is>
          <t>Jardinerie / matériaux paysage</t>
        </is>
      </c>
      <c r="E57" s="15" t="inlineStr">
        <is>
          <t>Cailloux Drive Caen</t>
        </is>
      </c>
      <c r="F57" s="15" t="inlineStr">
        <is>
          <t>Blainville-sur-Orne (14550)</t>
        </is>
      </c>
      <c r="G57" s="15" t="inlineStr">
        <is>
          <t>Normandie</t>
        </is>
      </c>
      <c r="H57" s="15" t="inlineStr">
        <is>
          <t>Dépôt de matériaux d'aménagement extérieur classé en pierres naturelles, qui vend déjà pavés et ardoise : il pourrait proposer MINYALA en dalles de terrasse et d'allée.</t>
        </is>
      </c>
      <c r="I57" s="15" t="n"/>
      <c r="J57" s="15" t="inlineStr">
        <is>
          <t>07 86 00 01 06</t>
        </is>
      </c>
      <c r="K57" s="20" t="inlineStr">
        <is>
          <t>Voir</t>
        </is>
      </c>
      <c r="L57" s="21" t="inlineStr">
        <is>
          <t>À contacter</t>
        </is>
      </c>
      <c r="M57" s="21" t="n"/>
      <c r="N57" s="21" t="n"/>
      <c r="O57" s="21" t="n"/>
      <c r="P57" s="15" t="inlineStr">
        <is>
          <t>3e liste (12/10)</t>
        </is>
      </c>
    </row>
    <row r="58" ht="54.75" customHeight="1" s="13">
      <c r="A58" s="15" t="n">
        <v>57</v>
      </c>
      <c r="B58" s="15" t="inlineStr">
        <is>
          <t>Pro France</t>
        </is>
      </c>
      <c r="C58" s="15" t="n">
        <v>2</v>
      </c>
      <c r="D58" s="15" t="inlineStr">
        <is>
          <t>Maître d'œuvre</t>
        </is>
      </c>
      <c r="E58" s="15" t="inlineStr">
        <is>
          <t>Concept Intérieur</t>
        </is>
      </c>
      <c r="F58" s="15" t="inlineStr">
        <is>
          <t>Deauville (14800)</t>
        </is>
      </c>
      <c r="G58" s="15" t="inlineStr">
        <is>
          <t>Normandie</t>
        </is>
      </c>
      <c r="H58" s="15" t="inlineStr">
        <is>
          <t>Ce maître d'œuvre de Deauville réalise des terrasses, des piscines et des rénovations : il peut prescrire MINYALA en dallage de terrasse ou en plage de piscine (usage à valider avec lui : finition, gel, glissance, humidité).</t>
        </is>
      </c>
      <c r="I58" s="20" t="inlineStr">
        <is>
          <t>www.conceptinterieurdeauville.com</t>
        </is>
      </c>
      <c r="J58" s="15" t="inlineStr">
        <is>
          <t>02 31 88 44 75</t>
        </is>
      </c>
      <c r="K58" s="20" t="inlineStr">
        <is>
          <t>Voir</t>
        </is>
      </c>
      <c r="L58" s="21" t="inlineStr">
        <is>
          <t>À contacter</t>
        </is>
      </c>
      <c r="M58" s="21" t="n"/>
      <c r="N58" s="21" t="n"/>
      <c r="O58" s="21" t="n"/>
      <c r="P58" s="15" t="inlineStr">
        <is>
          <t>2e liste (12/10)</t>
        </is>
      </c>
    </row>
    <row r="59" ht="54.75" customHeight="1" s="13">
      <c r="A59" s="15" t="n">
        <v>58</v>
      </c>
      <c r="B59" s="15" t="inlineStr">
        <is>
          <t>Pro France</t>
        </is>
      </c>
      <c r="C59" s="15" t="n">
        <v>2</v>
      </c>
      <c r="D59" s="15" t="inlineStr">
        <is>
          <t>Pisciniste</t>
        </is>
      </c>
      <c r="E59" s="15" t="inlineStr">
        <is>
          <t>Delalande Piscines &amp; Spas</t>
        </is>
      </c>
      <c r="F59" s="15" t="inlineStr">
        <is>
          <t>Touques (14800)</t>
        </is>
      </c>
      <c r="G59" s="15" t="inlineStr">
        <is>
          <t>Normandie</t>
        </is>
      </c>
      <c r="H59" s="15" t="inlineStr">
        <is>
          <t>Pisciniste de la Côte Fleurie avec showrooms à Deauville et Pont-l'Évêque, il propose margelles et terrasses autour de piscines haut de gamme où MINYALA a sa place (usage à valider avec lui : finition, gel, glissance, humidité).</t>
        </is>
      </c>
      <c r="I59" s="20" t="inlineStr">
        <is>
          <t>www.piscines-delalande.fr</t>
        </is>
      </c>
      <c r="J59" s="15" t="inlineStr">
        <is>
          <t>02 31 88 85 00</t>
        </is>
      </c>
      <c r="K59" s="20" t="inlineStr">
        <is>
          <t>Voir</t>
        </is>
      </c>
      <c r="L59" s="21" t="inlineStr">
        <is>
          <t>À contacter</t>
        </is>
      </c>
      <c r="M59" s="21" t="n"/>
      <c r="N59" s="21" t="n"/>
      <c r="O59" s="21" t="n"/>
      <c r="P59" s="15" t="inlineStr">
        <is>
          <t>2e liste (12/10)</t>
        </is>
      </c>
    </row>
    <row r="60" ht="27.75" customHeight="1" s="13">
      <c r="A60" s="15" t="n">
        <v>59</v>
      </c>
      <c r="B60" s="15" t="inlineStr">
        <is>
          <t>Pro France</t>
        </is>
      </c>
      <c r="C60" s="15" t="n">
        <v>2</v>
      </c>
      <c r="D60" s="15" t="inlineStr">
        <is>
          <t>Travaux publics / VRD</t>
        </is>
      </c>
      <c r="E60" s="15" t="inlineStr">
        <is>
          <t>Delpic TP</t>
        </is>
      </c>
      <c r="F60" s="15" t="inlineStr">
        <is>
          <t>Rives-en-Seine (76490)</t>
        </is>
      </c>
      <c r="G60" s="15" t="inlineStr">
        <is>
          <t>Normandie</t>
        </is>
      </c>
      <c r="H60" s="15" t="inlineStr">
        <is>
          <t>Travaux publics et aménagements extérieurs : projets de plus grande surface.</t>
        </is>
      </c>
      <c r="I60" s="15" t="n"/>
      <c r="J60" s="15" t="n"/>
      <c r="K60" s="20" t="inlineStr">
        <is>
          <t>Voir</t>
        </is>
      </c>
      <c r="L60" s="21" t="inlineStr">
        <is>
          <t>À contacter</t>
        </is>
      </c>
      <c r="M60" s="21" t="n"/>
      <c r="N60" s="21" t="n"/>
      <c r="O60" s="21" t="n"/>
      <c r="P60" s="15" t="inlineStr">
        <is>
          <t>1re liste (08/10)</t>
        </is>
      </c>
    </row>
    <row r="61" ht="41.25" customHeight="1" s="13">
      <c r="A61" s="15" t="n">
        <v>60</v>
      </c>
      <c r="B61" s="15" t="inlineStr">
        <is>
          <t>Pro France</t>
        </is>
      </c>
      <c r="C61" s="15" t="n">
        <v>2</v>
      </c>
      <c r="D61" s="15" t="inlineStr">
        <is>
          <t>Showroom carrelage</t>
        </is>
      </c>
      <c r="E61" s="15" t="inlineStr">
        <is>
          <t>Entreprise Poupart</t>
        </is>
      </c>
      <c r="F61" s="15" t="inlineStr">
        <is>
          <t>Lisieux (14100)</t>
        </is>
      </c>
      <c r="G61" s="15" t="inlineStr">
        <is>
          <t>Normandie</t>
        </is>
      </c>
      <c r="H61" s="15" t="inlineStr">
        <is>
          <t>Entreprise de Lisieux spécialisée dans la vente et la pose de carrelages et de dallages : elle pourrait ajouter une pierre naturelle comme MINYALA à son offre dans le Pays d'Auge.</t>
        </is>
      </c>
      <c r="I61" s="15" t="n"/>
      <c r="J61" s="15" t="inlineStr">
        <is>
          <t>02 31 31 65 00</t>
        </is>
      </c>
      <c r="K61" s="20" t="inlineStr">
        <is>
          <t>Voir</t>
        </is>
      </c>
      <c r="L61" s="21" t="inlineStr">
        <is>
          <t>À contacter</t>
        </is>
      </c>
      <c r="M61" s="21" t="n"/>
      <c r="N61" s="21" t="n"/>
      <c r="O61" s="21" t="n"/>
      <c r="P61" s="15" t="inlineStr">
        <is>
          <t>3e liste (12/10)</t>
        </is>
      </c>
    </row>
    <row r="62" ht="41.25" customHeight="1" s="13">
      <c r="A62" s="15" t="n">
        <v>61</v>
      </c>
      <c r="B62" s="15" t="inlineStr">
        <is>
          <t>Pro France</t>
        </is>
      </c>
      <c r="C62" s="15" t="n">
        <v>2</v>
      </c>
      <c r="D62" s="15" t="inlineStr">
        <is>
          <t>Showroom carrelage</t>
        </is>
      </c>
      <c r="E62" s="15" t="inlineStr">
        <is>
          <t>Frazzi</t>
        </is>
      </c>
      <c r="F62" s="15" t="inlineStr">
        <is>
          <t>Saint-Étienne-du-Rouvray (76800)</t>
        </is>
      </c>
      <c r="G62" s="15" t="inlineStr">
        <is>
          <t>Normandie</t>
        </is>
      </c>
      <c r="H62" s="15" t="inlineStr">
        <is>
          <t>Ce showroom carrelage et dallage de 1 500 m² dans l'agglomération rouennaise peut revendre MINYALA à ses clients pour sols intérieurs et terrasses.</t>
        </is>
      </c>
      <c r="I62" s="20" t="inlineStr">
        <is>
          <t>www.frazzi.fr</t>
        </is>
      </c>
      <c r="J62" s="15" t="n"/>
      <c r="K62" s="20" t="inlineStr">
        <is>
          <t>Voir</t>
        </is>
      </c>
      <c r="L62" s="21" t="inlineStr">
        <is>
          <t>À contacter</t>
        </is>
      </c>
      <c r="M62" s="21" t="n"/>
      <c r="N62" s="21" t="n"/>
      <c r="O62" s="21" t="n"/>
      <c r="P62" s="15" t="inlineStr">
        <is>
          <t>2e liste (12/10)</t>
        </is>
      </c>
    </row>
    <row r="63" ht="41.25" customHeight="1" s="13">
      <c r="A63" s="15" t="n">
        <v>62</v>
      </c>
      <c r="B63" s="15" t="inlineStr">
        <is>
          <t>Pro France</t>
        </is>
      </c>
      <c r="C63" s="15" t="n">
        <v>2</v>
      </c>
      <c r="D63" s="15" t="inlineStr">
        <is>
          <t>Marbrerie</t>
        </is>
      </c>
      <c r="E63" s="15" t="inlineStr">
        <is>
          <t>Frédérick Hanache</t>
        </is>
      </c>
      <c r="F63" s="15" t="inlineStr">
        <is>
          <t>La Vaupalière (76150)</t>
        </is>
      </c>
      <c r="G63" s="15" t="inlineStr">
        <is>
          <t>Normandie</t>
        </is>
      </c>
      <c r="H63" s="15" t="inlineStr">
        <is>
          <t>Artisan près de Rouen qui travaille marbre, granit et pierre naturelle pour des salles de bains et cuisines et pose des dallages : MINYALA pourrait lui servir pour les sols et les murs.</t>
        </is>
      </c>
      <c r="I63" s="15" t="n"/>
      <c r="J63" s="15" t="inlineStr">
        <is>
          <t>02 35 74 19 61</t>
        </is>
      </c>
      <c r="K63" s="20" t="inlineStr">
        <is>
          <t>Voir</t>
        </is>
      </c>
      <c r="L63" s="21" t="inlineStr">
        <is>
          <t>À contacter</t>
        </is>
      </c>
      <c r="M63" s="21" t="n"/>
      <c r="N63" s="21" t="n"/>
      <c r="O63" s="21" t="n"/>
      <c r="P63" s="15" t="inlineStr">
        <is>
          <t>3e liste (12/10)</t>
        </is>
      </c>
    </row>
    <row r="64" ht="27.75" customHeight="1" s="13">
      <c r="A64" s="15" t="n">
        <v>63</v>
      </c>
      <c r="B64" s="15" t="inlineStr">
        <is>
          <t>Pro France</t>
        </is>
      </c>
      <c r="C64" s="15" t="n">
        <v>2</v>
      </c>
      <c r="D64" s="15" t="inlineStr">
        <is>
          <t>Carreleur / poseur pierre</t>
        </is>
      </c>
      <c r="E64" s="15" t="inlineStr">
        <is>
          <t>GBT-Toktas</t>
        </is>
      </c>
      <c r="F64" s="15" t="inlineStr">
        <is>
          <t>Sotteville-lès-Rouen (76300)</t>
        </is>
      </c>
      <c r="G64" s="15" t="inlineStr">
        <is>
          <t>Normandie</t>
        </is>
      </c>
      <c r="H64" s="15" t="inlineStr">
        <is>
          <t>Carreleur. Près de Rouen.</t>
        </is>
      </c>
      <c r="I64" s="15" t="n"/>
      <c r="J64" s="15" t="n"/>
      <c r="K64" s="20" t="inlineStr">
        <is>
          <t>Voir</t>
        </is>
      </c>
      <c r="L64" s="21" t="inlineStr">
        <is>
          <t>À contacter</t>
        </is>
      </c>
      <c r="M64" s="21" t="n"/>
      <c r="N64" s="21" t="n"/>
      <c r="O64" s="21" t="n"/>
      <c r="P64" s="15" t="inlineStr">
        <is>
          <t>1re liste (08/10)</t>
        </is>
      </c>
    </row>
    <row r="65" ht="41.25" customHeight="1" s="13">
      <c r="A65" s="15" t="n">
        <v>64</v>
      </c>
      <c r="B65" s="15" t="inlineStr">
        <is>
          <t>Pro France</t>
        </is>
      </c>
      <c r="C65" s="15" t="n">
        <v>2</v>
      </c>
      <c r="D65" s="15" t="inlineStr">
        <is>
          <t>Showroom carrelage</t>
        </is>
      </c>
      <c r="E65" s="15" t="inlineStr">
        <is>
          <t>GINI Carrelage</t>
        </is>
      </c>
      <c r="F65" s="15" t="inlineStr">
        <is>
          <t>Rouen (76100)</t>
        </is>
      </c>
      <c r="G65" s="15" t="inlineStr">
        <is>
          <t>Normandie</t>
        </is>
      </c>
      <c r="H65" s="15" t="inlineStr">
        <is>
          <t>Showroom carrelage et salle de bains rouennais doté d'une rubrique déstockage et promotions, il pourrait proposer MINYALA à prix stock à ses clients.</t>
        </is>
      </c>
      <c r="I65" s="20" t="inlineStr">
        <is>
          <t>ginicarrelage.fr</t>
        </is>
      </c>
      <c r="J65" s="15" t="inlineStr">
        <is>
          <t>07 70 78 63 48</t>
        </is>
      </c>
      <c r="K65" s="20" t="inlineStr">
        <is>
          <t>Voir</t>
        </is>
      </c>
      <c r="L65" s="21" t="inlineStr">
        <is>
          <t>À contacter</t>
        </is>
      </c>
      <c r="M65" s="21" t="n"/>
      <c r="N65" s="21" t="n"/>
      <c r="O65" s="21" t="n"/>
      <c r="P65" s="15" t="inlineStr">
        <is>
          <t>3e liste (12/10)</t>
        </is>
      </c>
    </row>
    <row r="66" ht="54.75" customHeight="1" s="13">
      <c r="A66" s="15" t="n">
        <v>65</v>
      </c>
      <c r="B66" s="15" t="inlineStr">
        <is>
          <t>Pro France</t>
        </is>
      </c>
      <c r="C66" s="15" t="n">
        <v>2</v>
      </c>
      <c r="D66" s="15" t="inlineStr">
        <is>
          <t>Paysagiste</t>
        </is>
      </c>
      <c r="E66" s="15" t="inlineStr">
        <is>
          <t>GUERIN Parcs et Jardins</t>
        </is>
      </c>
      <c r="F66" s="15" t="inlineStr">
        <is>
          <t>Saint-Vaast-en-Auge (14640)</t>
        </is>
      </c>
      <c r="G66" s="15" t="inlineStr">
        <is>
          <t>Normandie</t>
        </is>
      </c>
      <c r="H66" s="15" t="inlineStr">
        <is>
          <t>Paysagiste de la Côte Fleurie qui a déjà réalisé une terrasse en travertin à Villers-sur-Mer et aménage les abords de piscines, il pourrait poser MINYALA en terrasses et allées (usage à valider avec lui : finition, gel, glissance, humidité).</t>
        </is>
      </c>
      <c r="I66" s="20" t="inlineStr">
        <is>
          <t>www.paysagiste-auberville.fr</t>
        </is>
      </c>
      <c r="J66" s="15" t="inlineStr">
        <is>
          <t>02 31 50 55 55</t>
        </is>
      </c>
      <c r="K66" s="20" t="inlineStr">
        <is>
          <t>Voir</t>
        </is>
      </c>
      <c r="L66" s="21" t="inlineStr">
        <is>
          <t>À contacter</t>
        </is>
      </c>
      <c r="M66" s="21" t="n"/>
      <c r="N66" s="21" t="n"/>
      <c r="O66" s="21" t="n"/>
      <c r="P66" s="15" t="inlineStr">
        <is>
          <t>3e liste (12/10)</t>
        </is>
      </c>
    </row>
    <row r="67" ht="15" customHeight="1" s="13">
      <c r="A67" s="15" t="n">
        <v>66</v>
      </c>
      <c r="B67" s="15" t="inlineStr">
        <is>
          <t>Pro France</t>
        </is>
      </c>
      <c r="C67" s="15" t="n">
        <v>2</v>
      </c>
      <c r="D67" s="15" t="inlineStr">
        <is>
          <t>Paysagiste</t>
        </is>
      </c>
      <c r="E67" s="15" t="inlineStr">
        <is>
          <t>Gouellain</t>
        </is>
      </c>
      <c r="F67" s="15" t="inlineStr">
        <is>
          <t>Maromme (76150)</t>
        </is>
      </c>
      <c r="G67" s="15" t="inlineStr">
        <is>
          <t>Normandie</t>
        </is>
      </c>
      <c r="H67" s="15" t="inlineStr">
        <is>
          <t>Paysagiste, création d'espaces extérieurs. Près de Rouen.</t>
        </is>
      </c>
      <c r="I67" s="15" t="n"/>
      <c r="J67" s="15" t="n"/>
      <c r="K67" s="20" t="inlineStr">
        <is>
          <t>Voir</t>
        </is>
      </c>
      <c r="L67" s="21" t="inlineStr">
        <is>
          <t>À contacter</t>
        </is>
      </c>
      <c r="M67" s="21" t="n"/>
      <c r="N67" s="21" t="n"/>
      <c r="O67" s="21" t="n"/>
      <c r="P67" s="15" t="inlineStr">
        <is>
          <t>1re liste (08/10)</t>
        </is>
      </c>
    </row>
    <row r="68" ht="41.25" customHeight="1" s="13">
      <c r="A68" s="15" t="n">
        <v>67</v>
      </c>
      <c r="B68" s="15" t="inlineStr">
        <is>
          <t>Pro France</t>
        </is>
      </c>
      <c r="C68" s="15" t="n">
        <v>2</v>
      </c>
      <c r="D68" s="15" t="inlineStr">
        <is>
          <t>Marbrerie</t>
        </is>
      </c>
      <c r="E68" s="15" t="inlineStr">
        <is>
          <t>Granits et Matériaux</t>
        </is>
      </c>
      <c r="F68" s="15" t="inlineStr">
        <is>
          <t>Le Houlme (76770)</t>
        </is>
      </c>
      <c r="G68" s="15" t="inlineStr">
        <is>
          <t>Normandie</t>
        </is>
      </c>
      <c r="H68" s="15" t="inlineStr">
        <is>
          <t>Ce spécialiste de la pierre naturelle près de Rouen fournit des dallages et aménagements extérieurs aux maîtres d'ouvrage et aux paysagistes, il peut intégrer MINYALA à son offre.</t>
        </is>
      </c>
      <c r="I68" s="20" t="inlineStr">
        <is>
          <t>granits-materiaux.fr</t>
        </is>
      </c>
      <c r="J68" s="15" t="inlineStr">
        <is>
          <t>02 35 75 64 07</t>
        </is>
      </c>
      <c r="K68" s="20" t="inlineStr">
        <is>
          <t>Voir</t>
        </is>
      </c>
      <c r="L68" s="21" t="inlineStr">
        <is>
          <t>À contacter</t>
        </is>
      </c>
      <c r="M68" s="21" t="n"/>
      <c r="N68" s="21" t="n"/>
      <c r="O68" s="21" t="n"/>
      <c r="P68" s="15" t="inlineStr">
        <is>
          <t>2e liste (12/10)</t>
        </is>
      </c>
    </row>
    <row r="69" ht="41.25" customHeight="1" s="13">
      <c r="A69" s="15" t="n">
        <v>68</v>
      </c>
      <c r="B69" s="15" t="inlineStr">
        <is>
          <t>Pro France</t>
        </is>
      </c>
      <c r="C69" s="15" t="n">
        <v>2</v>
      </c>
      <c r="D69" s="15" t="inlineStr">
        <is>
          <t>Constructeur de maisons</t>
        </is>
      </c>
      <c r="E69" s="15" t="inlineStr">
        <is>
          <t>Honnet Constructions</t>
        </is>
      </c>
      <c r="F69" s="15" t="inlineStr">
        <is>
          <t>Bourg-Achard (27310)</t>
        </is>
      </c>
      <c r="G69" s="15" t="inlineStr">
        <is>
          <t>Normandie</t>
        </is>
      </c>
      <c r="H69" s="15" t="inlineStr">
        <is>
          <t>Constructeur de maisons normandes à colombages et en pierre, qui fait aussi rénovation et extensions : MINYALA pourrait servir pour les sols et terrasses de ses constructions.</t>
        </is>
      </c>
      <c r="I69" s="20" t="inlineStr">
        <is>
          <t>www.honnetconstructions.fr</t>
        </is>
      </c>
      <c r="J69" s="15" t="inlineStr">
        <is>
          <t>02 44 10 03 40</t>
        </is>
      </c>
      <c r="K69" s="20" t="inlineStr">
        <is>
          <t>Voir</t>
        </is>
      </c>
      <c r="L69" s="21" t="inlineStr">
        <is>
          <t>À contacter</t>
        </is>
      </c>
      <c r="M69" s="21" t="n"/>
      <c r="N69" s="21" t="n"/>
      <c r="O69" s="21" t="n"/>
      <c r="P69" s="15" t="inlineStr">
        <is>
          <t>3e liste (12/10)</t>
        </is>
      </c>
    </row>
    <row r="70" ht="41.25" customHeight="1" s="13">
      <c r="A70" s="15" t="n">
        <v>69</v>
      </c>
      <c r="B70" s="15" t="inlineStr">
        <is>
          <t>Pro France</t>
        </is>
      </c>
      <c r="C70" s="15" t="n">
        <v>2</v>
      </c>
      <c r="D70" s="15" t="inlineStr">
        <is>
          <t>Pisciniste</t>
        </is>
      </c>
      <c r="E70" s="15" t="inlineStr">
        <is>
          <t>Jardin Passions</t>
        </is>
      </c>
      <c r="F70" s="15" t="inlineStr">
        <is>
          <t>Bois-Guillaume (76230)</t>
        </is>
      </c>
      <c r="G70" s="15" t="inlineStr">
        <is>
          <t>Normandie</t>
        </is>
      </c>
      <c r="H70" s="15" t="inlineStr">
        <is>
          <t>Ce pisciniste rouennais construit des terrasses périphériques en bois ou en pierre autour de ses piscines, MINYALA peut y être proposé selon finition et pose.</t>
        </is>
      </c>
      <c r="I70" s="20" t="inlineStr">
        <is>
          <t>www.jardinpassions.fr</t>
        </is>
      </c>
      <c r="J70" s="15" t="inlineStr">
        <is>
          <t>02 35 59 19 40</t>
        </is>
      </c>
      <c r="K70" s="20" t="inlineStr">
        <is>
          <t>Voir</t>
        </is>
      </c>
      <c r="L70" s="21" t="inlineStr">
        <is>
          <t>À contacter</t>
        </is>
      </c>
      <c r="M70" s="21" t="n"/>
      <c r="N70" s="21" t="n"/>
      <c r="O70" s="21" t="n"/>
      <c r="P70" s="15" t="inlineStr">
        <is>
          <t>2e liste (12/10)</t>
        </is>
      </c>
    </row>
    <row r="71" ht="41.25" customHeight="1" s="13">
      <c r="A71" s="15" t="n">
        <v>70</v>
      </c>
      <c r="B71" s="15" t="inlineStr">
        <is>
          <t>Pro France</t>
        </is>
      </c>
      <c r="C71" s="15" t="n">
        <v>2</v>
      </c>
      <c r="D71" s="15" t="inlineStr">
        <is>
          <t>Marbrerie</t>
        </is>
      </c>
      <c r="E71" s="15" t="inlineStr">
        <is>
          <t>La Roche Taillée</t>
        </is>
      </c>
      <c r="F71" s="15" t="inlineStr">
        <is>
          <t>Sotteville-lès-Rouen (76300)</t>
        </is>
      </c>
      <c r="G71" s="15" t="inlineStr">
        <is>
          <t>Normandie</t>
        </is>
      </c>
      <c r="H71" s="15" t="inlineStr">
        <is>
          <t>Cet atelier rouennais de taille de pierre vend déjà dallages et margelles de piscine en calcaire : il peut proposer MINYALA brut à sa clientèle (usage à valider avec lui : finition, gel, glissance, humidité).</t>
        </is>
      </c>
      <c r="I71" s="20" t="inlineStr">
        <is>
          <t>www.la-roche-taillee.fr</t>
        </is>
      </c>
      <c r="J71" s="15" t="n"/>
      <c r="K71" s="20" t="inlineStr">
        <is>
          <t>Voir</t>
        </is>
      </c>
      <c r="L71" s="21" t="inlineStr">
        <is>
          <t>À contacter</t>
        </is>
      </c>
      <c r="M71" s="21" t="n"/>
      <c r="N71" s="21" t="n"/>
      <c r="O71" s="21" t="n"/>
      <c r="P71" s="15" t="inlineStr">
        <is>
          <t>2e liste (12/10)</t>
        </is>
      </c>
    </row>
    <row r="72" ht="54.75" customHeight="1" s="13">
      <c r="A72" s="15" t="n">
        <v>71</v>
      </c>
      <c r="B72" s="15" t="inlineStr">
        <is>
          <t>Pro France</t>
        </is>
      </c>
      <c r="C72" s="15" t="n">
        <v>2</v>
      </c>
      <c r="D72" s="15" t="inlineStr">
        <is>
          <t>Pisciniste</t>
        </is>
      </c>
      <c r="E72" s="15" t="inlineStr">
        <is>
          <t>Larcher Piscines (membre L'Esprit Piscine)</t>
        </is>
      </c>
      <c r="F72" s="15" t="inlineStr">
        <is>
          <t>Saint-Arnoult (Deauville) (14800)</t>
        </is>
      </c>
      <c r="G72" s="15" t="inlineStr">
        <is>
          <t>Normandie</t>
        </is>
      </c>
      <c r="H72" s="15" t="inlineStr">
        <is>
          <t>Ce constructeur de piscines béton de la Côte Fleurie, qui rénove aussi des bassins, peut poser MINYALA en margelles et en plages pour une clientèle aisée (usage à valider avec lui : finition, gel, glissance, humidité).</t>
        </is>
      </c>
      <c r="I72" s="20" t="inlineStr">
        <is>
          <t>www.larcher.fr</t>
        </is>
      </c>
      <c r="J72" s="15" t="inlineStr">
        <is>
          <t>02 58 06 00 30</t>
        </is>
      </c>
      <c r="K72" s="20" t="inlineStr">
        <is>
          <t>Voir</t>
        </is>
      </c>
      <c r="L72" s="21" t="inlineStr">
        <is>
          <t>À contacter</t>
        </is>
      </c>
      <c r="M72" s="21" t="n"/>
      <c r="N72" s="21" t="n"/>
      <c r="O72" s="21" t="n"/>
      <c r="P72" s="15" t="inlineStr">
        <is>
          <t>2e liste (12/10)</t>
        </is>
      </c>
    </row>
    <row r="73" ht="41.25" customHeight="1" s="13">
      <c r="A73" s="15" t="n">
        <v>72</v>
      </c>
      <c r="B73" s="15" t="inlineStr">
        <is>
          <t>Pro France</t>
        </is>
      </c>
      <c r="C73" s="15" t="n">
        <v>2</v>
      </c>
      <c r="D73" s="15" t="inlineStr">
        <is>
          <t>Constructeur de maisons</t>
        </is>
      </c>
      <c r="E73" s="15" t="inlineStr">
        <is>
          <t>Les Demeures de Province</t>
        </is>
      </c>
      <c r="F73" s="15" t="inlineStr">
        <is>
          <t>Évreux (27000)</t>
        </is>
      </c>
      <c r="G73" s="15" t="inlineStr">
        <is>
          <t>Normandie</t>
        </is>
      </c>
      <c r="H73" s="15" t="inlineStr">
        <is>
          <t>Constructeur familial normand (plus de 4 000 maisons, 5 agences) qui personnalise chaque maison : il pourrait proposer MINYALA en option de sol ou de terrasse.</t>
        </is>
      </c>
      <c r="I73" s="20" t="inlineStr">
        <is>
          <t>www.lesdemeuresdeprovince.fr</t>
        </is>
      </c>
      <c r="J73" s="15" t="inlineStr">
        <is>
          <t>02 32 62 81 62</t>
        </is>
      </c>
      <c r="K73" s="20" t="inlineStr">
        <is>
          <t>Voir</t>
        </is>
      </c>
      <c r="L73" s="21" t="inlineStr">
        <is>
          <t>À contacter</t>
        </is>
      </c>
      <c r="M73" s="21" t="n"/>
      <c r="N73" s="21" t="n"/>
      <c r="O73" s="21" t="n"/>
      <c r="P73" s="15" t="inlineStr">
        <is>
          <t>3e liste (12/10)</t>
        </is>
      </c>
    </row>
    <row r="74" ht="41.25" customHeight="1" s="13">
      <c r="A74" s="15" t="n">
        <v>73</v>
      </c>
      <c r="B74" s="15" t="inlineStr">
        <is>
          <t>Pro France</t>
        </is>
      </c>
      <c r="C74" s="15" t="n">
        <v>2</v>
      </c>
      <c r="D74" s="15" t="inlineStr">
        <is>
          <t>Pisciniste</t>
        </is>
      </c>
      <c r="E74" s="15" t="inlineStr">
        <is>
          <t>Les Piscines Moreau</t>
        </is>
      </c>
      <c r="F74" s="15" t="inlineStr">
        <is>
          <t>Franqueville-Saint-Pierre (76520)</t>
        </is>
      </c>
      <c r="G74" s="15" t="inlineStr">
        <is>
          <t>Normandie</t>
        </is>
      </c>
      <c r="H74" s="15" t="inlineStr">
        <is>
          <t>Ce pisciniste rouennais rénove margelles et plages : MINYALA peut remplacer d'anciennes plages lors de ses chantiers (usage à valider avec lui : finition, gel, glissance, humidité).</t>
        </is>
      </c>
      <c r="I74" s="20" t="inlineStr">
        <is>
          <t>www.lespiscinesmoreau.com</t>
        </is>
      </c>
      <c r="J74" s="15" t="inlineStr">
        <is>
          <t>02 34 88 22 88</t>
        </is>
      </c>
      <c r="K74" s="20" t="inlineStr">
        <is>
          <t>Voir</t>
        </is>
      </c>
      <c r="L74" s="21" t="inlineStr">
        <is>
          <t>À contacter</t>
        </is>
      </c>
      <c r="M74" s="21" t="n"/>
      <c r="N74" s="21" t="n"/>
      <c r="O74" s="21" t="n"/>
      <c r="P74" s="15" t="inlineStr">
        <is>
          <t>2e liste (12/10)</t>
        </is>
      </c>
    </row>
    <row r="75" ht="15" customHeight="1" s="13">
      <c r="A75" s="15" t="n">
        <v>74</v>
      </c>
      <c r="B75" s="15" t="inlineStr">
        <is>
          <t>Pro France</t>
        </is>
      </c>
      <c r="C75" s="15" t="n">
        <v>2</v>
      </c>
      <c r="D75" s="15" t="inlineStr">
        <is>
          <t>Paysagiste</t>
        </is>
      </c>
      <c r="E75" s="15" t="inlineStr">
        <is>
          <t>Mabire Paysages</t>
        </is>
      </c>
      <c r="F75" s="15" t="inlineStr">
        <is>
          <t>Octeville-sur-Mer (76930)</t>
        </is>
      </c>
      <c r="G75" s="15" t="inlineStr">
        <is>
          <t>Normandie</t>
        </is>
      </c>
      <c r="H75" s="15" t="inlineStr">
        <is>
          <t>Paysagiste pour particuliers et professionnels. Près du Havre.</t>
        </is>
      </c>
      <c r="I75" s="15" t="n"/>
      <c r="J75" s="15" t="n"/>
      <c r="K75" s="20" t="inlineStr">
        <is>
          <t>Voir</t>
        </is>
      </c>
      <c r="L75" s="21" t="inlineStr">
        <is>
          <t>À contacter</t>
        </is>
      </c>
      <c r="M75" s="21" t="n"/>
      <c r="N75" s="21" t="n"/>
      <c r="O75" s="21" t="n"/>
      <c r="P75" s="15" t="inlineStr">
        <is>
          <t>1re liste (08/10)</t>
        </is>
      </c>
    </row>
    <row r="76" ht="41.25" customHeight="1" s="13">
      <c r="A76" s="15" t="n">
        <v>75</v>
      </c>
      <c r="B76" s="15" t="inlineStr">
        <is>
          <t>Pro France</t>
        </is>
      </c>
      <c r="C76" s="15" t="n">
        <v>2</v>
      </c>
      <c r="D76" s="15" t="inlineStr">
        <is>
          <t>Showroom carrelage</t>
        </is>
      </c>
      <c r="E76" s="15" t="inlineStr">
        <is>
          <t>Maillard (salle d'exposition Colombelles)</t>
        </is>
      </c>
      <c r="F76" s="15" t="inlineStr">
        <is>
          <t>Colombelles (14460)</t>
        </is>
      </c>
      <c r="G76" s="15" t="inlineStr">
        <is>
          <t>Normandie</t>
        </is>
      </c>
      <c r="H76" s="15" t="inlineStr">
        <is>
          <t>Ce distributeur normand, avec des showrooms et des comptoirs pros à Caen, Touques, au Havre et à Rouen, vend du carrelage de sol extérieur et peut référencer MINYALA.</t>
        </is>
      </c>
      <c r="I76" s="20" t="inlineStr">
        <is>
          <t>www.maillard.fr/magasins</t>
        </is>
      </c>
      <c r="J76" s="15" t="inlineStr">
        <is>
          <t>02 31 72 61 00</t>
        </is>
      </c>
      <c r="K76" s="20" t="inlineStr">
        <is>
          <t>Voir</t>
        </is>
      </c>
      <c r="L76" s="21" t="inlineStr">
        <is>
          <t>À contacter</t>
        </is>
      </c>
      <c r="M76" s="21" t="n"/>
      <c r="N76" s="21" t="n"/>
      <c r="O76" s="21" t="n"/>
      <c r="P76" s="15" t="inlineStr">
        <is>
          <t>2e liste (12/10)</t>
        </is>
      </c>
    </row>
    <row r="77" ht="41.25" customHeight="1" s="13">
      <c r="A77" s="15" t="n">
        <v>76</v>
      </c>
      <c r="B77" s="15" t="inlineStr">
        <is>
          <t>Pro France</t>
        </is>
      </c>
      <c r="C77" s="15" t="n">
        <v>2</v>
      </c>
      <c r="D77" s="15" t="inlineStr">
        <is>
          <t>Constructeur de maisons</t>
        </is>
      </c>
      <c r="E77" s="15" t="inlineStr">
        <is>
          <t>Maisons Lucas</t>
        </is>
      </c>
      <c r="F77" s="15" t="inlineStr">
        <is>
          <t>Isneauville (76230)</t>
        </is>
      </c>
      <c r="G77" s="15" t="inlineStr">
        <is>
          <t>Normandie</t>
        </is>
      </c>
      <c r="H77" s="15" t="inlineStr">
        <is>
          <t>Constructeur rouennais qui ne fait que du sur mesure avec un positionnement premium et des maisons de 115 à 400 m², il pourrait proposer MINYALA pour les sols et terrasses de ses grandes maisons.</t>
        </is>
      </c>
      <c r="I77" s="20" t="inlineStr">
        <is>
          <t>www.maisonslucas.fr</t>
        </is>
      </c>
      <c r="J77" s="15" t="inlineStr">
        <is>
          <t>02 35 34 35 55</t>
        </is>
      </c>
      <c r="K77" s="20" t="inlineStr">
        <is>
          <t>Voir</t>
        </is>
      </c>
      <c r="L77" s="21" t="inlineStr">
        <is>
          <t>À contacter</t>
        </is>
      </c>
      <c r="M77" s="21" t="n"/>
      <c r="N77" s="21" t="n"/>
      <c r="O77" s="21" t="n"/>
      <c r="P77" s="15" t="inlineStr">
        <is>
          <t>3e liste (12/10)</t>
        </is>
      </c>
    </row>
    <row r="78" ht="54.75" customHeight="1" s="13">
      <c r="A78" s="15" t="n">
        <v>77</v>
      </c>
      <c r="B78" s="15" t="inlineStr">
        <is>
          <t>Pro France</t>
        </is>
      </c>
      <c r="C78" s="15" t="n">
        <v>2</v>
      </c>
      <c r="D78" s="15" t="inlineStr">
        <is>
          <t>Marbrerie</t>
        </is>
      </c>
      <c r="E78" s="15" t="inlineStr">
        <is>
          <t>Marbres et Tendances</t>
        </is>
      </c>
      <c r="F78" s="15" t="inlineStr">
        <is>
          <t>Eslettes (76710)</t>
        </is>
      </c>
      <c r="G78" s="15" t="inlineStr">
        <is>
          <t>Normandie</t>
        </is>
      </c>
      <c r="H78" s="15" t="inlineStr">
        <is>
          <t>Cette marbrerie près de Rouen réalise des dallages en pierre naturelle en intérieur, sur terrasses et autour des piscines, un relais possible pour MINYALA en Normandie (usage à valider avec lui : finition, gel, glissance, humidité).</t>
        </is>
      </c>
      <c r="I78" s="20" t="inlineStr">
        <is>
          <t>www.marbresettendances.com</t>
        </is>
      </c>
      <c r="J78" s="15" t="inlineStr">
        <is>
          <t>02 35 05 22 24</t>
        </is>
      </c>
      <c r="K78" s="20" t="inlineStr">
        <is>
          <t>Voir</t>
        </is>
      </c>
      <c r="L78" s="21" t="inlineStr">
        <is>
          <t>À contacter</t>
        </is>
      </c>
      <c r="M78" s="21" t="n"/>
      <c r="N78" s="21" t="n"/>
      <c r="O78" s="21" t="n"/>
      <c r="P78" s="15" t="inlineStr">
        <is>
          <t>2e liste (12/10)</t>
        </is>
      </c>
    </row>
    <row r="79" ht="41.25" customHeight="1" s="13">
      <c r="A79" s="15" t="n">
        <v>78</v>
      </c>
      <c r="B79" s="15" t="inlineStr">
        <is>
          <t>Pro France</t>
        </is>
      </c>
      <c r="C79" s="15" t="n">
        <v>2</v>
      </c>
      <c r="D79" s="15" t="inlineStr">
        <is>
          <t>Négoce / revendeur</t>
        </is>
      </c>
      <c r="E79" s="15" t="inlineStr">
        <is>
          <t>Matériaux Dubos</t>
        </is>
      </c>
      <c r="F79" s="15" t="inlineStr">
        <is>
          <t>Brionne (27800)</t>
        </is>
      </c>
      <c r="G79" s="15" t="inlineStr">
        <is>
          <t>Normandie</t>
        </is>
      </c>
      <c r="H79" s="15" t="inlineStr">
        <is>
          <t>Négoce de matériaux de l'Eure classé en pierres naturelles, qui fait aussi de l'aménagement extérieur : il pourrait référencer MINYALA pour terrasses et allées.</t>
        </is>
      </c>
      <c r="I79" s="15" t="n"/>
      <c r="J79" s="15" t="n"/>
      <c r="K79" s="20" t="inlineStr">
        <is>
          <t>Voir</t>
        </is>
      </c>
      <c r="L79" s="21" t="inlineStr">
        <is>
          <t>À contacter</t>
        </is>
      </c>
      <c r="M79" s="21" t="n"/>
      <c r="N79" s="21" t="n"/>
      <c r="O79" s="21" t="n"/>
      <c r="P79" s="15" t="inlineStr">
        <is>
          <t>3e liste (12/10)</t>
        </is>
      </c>
    </row>
    <row r="80" ht="41.25" customHeight="1" s="13">
      <c r="A80" s="15" t="n">
        <v>79</v>
      </c>
      <c r="B80" s="15" t="inlineStr">
        <is>
          <t>Pro France</t>
        </is>
      </c>
      <c r="C80" s="15" t="n">
        <v>2</v>
      </c>
      <c r="D80" s="15" t="inlineStr">
        <is>
          <t>Marbrerie</t>
        </is>
      </c>
      <c r="E80" s="15" t="inlineStr">
        <is>
          <t>Motte Décoration</t>
        </is>
      </c>
      <c r="F80" s="15" t="inlineStr">
        <is>
          <t>Le Pré-d'Auge (14340)</t>
        </is>
      </c>
      <c r="G80" s="15" t="inlineStr">
        <is>
          <t>Normandie</t>
        </is>
      </c>
      <c r="H80" s="15" t="inlineStr">
        <is>
          <t>Petite marbrerie du Pays d'Auge qui vend aussi carrelages et dallages et travaille la pierre naturelle pour salles de bains et cuisines : elle pourrait revendre ou poser MINYALA.</t>
        </is>
      </c>
      <c r="I80" s="15" t="n"/>
      <c r="J80" s="15" t="inlineStr">
        <is>
          <t>02 31 32 22 00</t>
        </is>
      </c>
      <c r="K80" s="20" t="inlineStr">
        <is>
          <t>Voir</t>
        </is>
      </c>
      <c r="L80" s="21" t="inlineStr">
        <is>
          <t>À contacter</t>
        </is>
      </c>
      <c r="M80" s="21" t="n"/>
      <c r="N80" s="21" t="n"/>
      <c r="O80" s="21" t="n"/>
      <c r="P80" s="15" t="inlineStr">
        <is>
          <t>3e liste (12/10)</t>
        </is>
      </c>
    </row>
    <row r="81" ht="41.25" customHeight="1" s="13">
      <c r="A81" s="15" t="n">
        <v>80</v>
      </c>
      <c r="B81" s="15" t="inlineStr">
        <is>
          <t>Pro France</t>
        </is>
      </c>
      <c r="C81" s="15" t="n">
        <v>2</v>
      </c>
      <c r="D81" s="15" t="inlineStr">
        <is>
          <t>Showroom carrelage</t>
        </is>
      </c>
      <c r="E81" s="15" t="inlineStr">
        <is>
          <t>Murésol</t>
        </is>
      </c>
      <c r="F81" s="15" t="inlineStr">
        <is>
          <t>Le Petit-Quevilly (76140)</t>
        </is>
      </c>
      <c r="G81" s="15" t="inlineStr">
        <is>
          <t>Normandie</t>
        </is>
      </c>
      <c r="H81" s="15" t="inlineStr">
        <is>
          <t>Ce fournisseur-poseur de sols haut de gamme, implanté à Rouen et au Havre, pose déjà du carrelage de terrasse et peut proposer MINYALA à ses clients.</t>
        </is>
      </c>
      <c r="I81" s="20" t="inlineStr">
        <is>
          <t>www.muretsol.fr</t>
        </is>
      </c>
      <c r="J81" s="15" t="inlineStr">
        <is>
          <t>02 59 22 99 56</t>
        </is>
      </c>
      <c r="K81" s="20" t="inlineStr">
        <is>
          <t>Voir</t>
        </is>
      </c>
      <c r="L81" s="21" t="inlineStr">
        <is>
          <t>À contacter</t>
        </is>
      </c>
      <c r="M81" s="21" t="n"/>
      <c r="N81" s="21" t="n"/>
      <c r="O81" s="21" t="n"/>
      <c r="P81" s="15" t="inlineStr">
        <is>
          <t>2e liste (12/10)</t>
        </is>
      </c>
    </row>
    <row r="82" ht="41.25" customHeight="1" s="13">
      <c r="A82" s="15" t="n">
        <v>81</v>
      </c>
      <c r="B82" s="15" t="inlineStr">
        <is>
          <t>Pro France</t>
        </is>
      </c>
      <c r="C82" s="15" t="n">
        <v>2</v>
      </c>
      <c r="D82" s="15" t="inlineStr">
        <is>
          <t>Carreleur / poseur pierre</t>
        </is>
      </c>
      <c r="E82" s="15" t="inlineStr">
        <is>
          <t>Piolain Carrelage</t>
        </is>
      </c>
      <c r="F82" s="15" t="inlineStr">
        <is>
          <t>Saint-Manvieu-Norrey (14740)</t>
        </is>
      </c>
      <c r="G82" s="15" t="inlineStr">
        <is>
          <t>Normandie</t>
        </is>
      </c>
      <c r="H82" s="15" t="inlineStr">
        <is>
          <t>Carreleur caennais qui pose déjà dallages en pierre naturelle et marbre, il pourrait poser MINYALA sur ses chantiers intérieurs et extérieurs.</t>
        </is>
      </c>
      <c r="I82" s="20" t="inlineStr">
        <is>
          <t>www.piolain-carrelage.fr</t>
        </is>
      </c>
      <c r="J82" s="15" t="inlineStr">
        <is>
          <t>02 31 25 21 95</t>
        </is>
      </c>
      <c r="K82" s="20" t="inlineStr">
        <is>
          <t>Voir</t>
        </is>
      </c>
      <c r="L82" s="21" t="inlineStr">
        <is>
          <t>À contacter</t>
        </is>
      </c>
      <c r="M82" s="21" t="n"/>
      <c r="N82" s="21" t="n"/>
      <c r="O82" s="21" t="n"/>
      <c r="P82" s="15" t="inlineStr">
        <is>
          <t>3e liste (12/10)</t>
        </is>
      </c>
    </row>
    <row r="83" ht="41.25" customHeight="1" s="13">
      <c r="A83" s="15" t="n">
        <v>82</v>
      </c>
      <c r="B83" s="15" t="inlineStr">
        <is>
          <t>Pro France</t>
        </is>
      </c>
      <c r="C83" s="15" t="n">
        <v>2</v>
      </c>
      <c r="D83" s="15" t="inlineStr">
        <is>
          <t>Pisciniste</t>
        </is>
      </c>
      <c r="E83" s="15" t="inlineStr">
        <is>
          <t>Piscines de France 76 (agence Le Havre)</t>
        </is>
      </c>
      <c r="F83" s="15" t="inlineStr">
        <is>
          <t>Montivilliers (76290)</t>
        </is>
      </c>
      <c r="G83" s="15" t="inlineStr">
        <is>
          <t>Normandie</t>
        </is>
      </c>
      <c r="H83" s="15" t="inlineStr">
        <is>
          <t>Cette agence de la région du Havre construit des piscines et réalise allées, terrasses et remplacement de margelles, des chantiers adaptés à MINYALA (usage à valider avec lui : finition, gel, glissance, humidité).</t>
        </is>
      </c>
      <c r="I83" s="20" t="inlineStr">
        <is>
          <t>www.piscines-de-france.fr/piscinistes/pisciniste-le-havre</t>
        </is>
      </c>
      <c r="J83" s="15" t="inlineStr">
        <is>
          <t>02 32 40 00 42</t>
        </is>
      </c>
      <c r="K83" s="20" t="inlineStr">
        <is>
          <t>Voir</t>
        </is>
      </c>
      <c r="L83" s="21" t="inlineStr">
        <is>
          <t>À contacter</t>
        </is>
      </c>
      <c r="M83" s="21" t="n"/>
      <c r="N83" s="21" t="n"/>
      <c r="O83" s="21" t="n"/>
      <c r="P83" s="15" t="inlineStr">
        <is>
          <t>2e liste (12/10)</t>
        </is>
      </c>
    </row>
    <row r="84" ht="54.75" customHeight="1" s="13">
      <c r="A84" s="15" t="n">
        <v>83</v>
      </c>
      <c r="B84" s="15" t="inlineStr">
        <is>
          <t>Pro France</t>
        </is>
      </c>
      <c r="C84" s="15" t="n">
        <v>2</v>
      </c>
      <c r="D84" s="15" t="inlineStr">
        <is>
          <t>Pisciniste</t>
        </is>
      </c>
      <c r="E84" s="15" t="inlineStr">
        <is>
          <t>Piscines et Abris Nord-Ouest</t>
        </is>
      </c>
      <c r="F84" s="15" t="inlineStr">
        <is>
          <t>Angerville-l'Orcher (76280)</t>
        </is>
      </c>
      <c r="G84" s="15" t="inlineStr">
        <is>
          <t>Normandie</t>
        </is>
      </c>
      <c r="H84" s="15" t="inlineStr">
        <is>
          <t>Ce pisciniste du pays de Caux propose déjà des margelles en pierre naturelle ou en travertin de la région du Havre jusqu'à Deauville et Évreux : MINYALA peut servir pour ses plages (usage à valider avec lui : finition, gel, glissance, humidité).</t>
        </is>
      </c>
      <c r="I84" s="20" t="inlineStr">
        <is>
          <t>www.piscinesetabrisnordouest.fr</t>
        </is>
      </c>
      <c r="J84" s="15" t="inlineStr">
        <is>
          <t>02 34 88 21 04</t>
        </is>
      </c>
      <c r="K84" s="20" t="inlineStr">
        <is>
          <t>Voir</t>
        </is>
      </c>
      <c r="L84" s="21" t="inlineStr">
        <is>
          <t>À contacter</t>
        </is>
      </c>
      <c r="M84" s="21" t="n"/>
      <c r="N84" s="21" t="n"/>
      <c r="O84" s="21" t="n"/>
      <c r="P84" s="15" t="inlineStr">
        <is>
          <t>2e liste (12/10)</t>
        </is>
      </c>
    </row>
    <row r="85" ht="41.25" customHeight="1" s="13">
      <c r="A85" s="15" t="n">
        <v>84</v>
      </c>
      <c r="B85" s="15" t="inlineStr">
        <is>
          <t>Pro France</t>
        </is>
      </c>
      <c r="C85" s="15" t="n">
        <v>2</v>
      </c>
      <c r="D85" s="15" t="inlineStr">
        <is>
          <t>Paysagiste</t>
        </is>
      </c>
      <c r="E85" s="15" t="inlineStr">
        <is>
          <t>Rpay Jardins &amp; Design</t>
        </is>
      </c>
      <c r="F85" s="15" t="inlineStr">
        <is>
          <t>Firfol (14100)</t>
        </is>
      </c>
      <c r="G85" s="15" t="inlineStr">
        <is>
          <t>Normandie</t>
        </is>
      </c>
      <c r="H85" s="15" t="inlineStr">
        <is>
          <t>Ce paysagiste haut de gamme du Pays d'Auge construit des piscines et pose margelles et terrasses : MINYALA convient pour ses plages et ses patios (usage à valider avec lui : finition, gel, glissance, humidité).</t>
        </is>
      </c>
      <c r="I85" s="20" t="inlineStr">
        <is>
          <t>www.rpay.fr</t>
        </is>
      </c>
      <c r="J85" s="15" t="n"/>
      <c r="K85" s="20" t="inlineStr">
        <is>
          <t>Voir</t>
        </is>
      </c>
      <c r="L85" s="21" t="inlineStr">
        <is>
          <t>À contacter</t>
        </is>
      </c>
      <c r="M85" s="21" t="n"/>
      <c r="N85" s="21" t="n"/>
      <c r="O85" s="21" t="n"/>
      <c r="P85" s="15" t="inlineStr">
        <is>
          <t>2e liste (12/10)</t>
        </is>
      </c>
    </row>
    <row r="86" ht="15" customHeight="1" s="13">
      <c r="A86" s="15" t="n">
        <v>85</v>
      </c>
      <c r="B86" s="15" t="inlineStr">
        <is>
          <t>Pro France</t>
        </is>
      </c>
      <c r="C86" s="15" t="n">
        <v>2</v>
      </c>
      <c r="D86" s="15" t="inlineStr">
        <is>
          <t>Paysagiste</t>
        </is>
      </c>
      <c r="E86" s="15" t="inlineStr">
        <is>
          <t>SARL A.C. Paysages</t>
        </is>
      </c>
      <c r="F86" s="15" t="inlineStr">
        <is>
          <t>Yville-sur-Seine (76530)</t>
        </is>
      </c>
      <c r="G86" s="15" t="inlineStr">
        <is>
          <t>Normandie</t>
        </is>
      </c>
      <c r="H86" s="15" t="inlineStr">
        <is>
          <t>Maçonnerie paysagère (terrasses, allées).</t>
        </is>
      </c>
      <c r="I86" s="15" t="n"/>
      <c r="J86" s="15" t="n"/>
      <c r="K86" s="20" t="inlineStr">
        <is>
          <t>Voir</t>
        </is>
      </c>
      <c r="L86" s="21" t="inlineStr">
        <is>
          <t>À contacter</t>
        </is>
      </c>
      <c r="M86" s="21" t="n"/>
      <c r="N86" s="21" t="n"/>
      <c r="O86" s="21" t="n"/>
      <c r="P86" s="15" t="inlineStr">
        <is>
          <t>1re liste (08/10)</t>
        </is>
      </c>
    </row>
    <row r="87" ht="54.75" customHeight="1" s="13">
      <c r="A87" s="15" t="n">
        <v>86</v>
      </c>
      <c r="B87" s="15" t="inlineStr">
        <is>
          <t>Pro France</t>
        </is>
      </c>
      <c r="C87" s="15" t="n">
        <v>2</v>
      </c>
      <c r="D87" s="15" t="inlineStr">
        <is>
          <t>Paysagiste</t>
        </is>
      </c>
      <c r="E87" s="15" t="inlineStr">
        <is>
          <t>SARL Foyer Dumouchel</t>
        </is>
      </c>
      <c r="F87" s="15" t="inlineStr">
        <is>
          <t>Villers-sur-Mer (14640)</t>
        </is>
      </c>
      <c r="G87" s="15" t="inlineStr">
        <is>
          <t>Normandie</t>
        </is>
      </c>
      <c r="H87" s="15" t="inlineStr">
        <is>
          <t>Paysagiste de la côte du Calvados qui pose dallages, terrasses en pierre et tours de piscine pour des résidences secondaires : bon débouché pour MINYALA en extérieur (usage à valider avec lui : finition, gel, glissance, humidité).</t>
        </is>
      </c>
      <c r="I87" s="20" t="inlineStr">
        <is>
          <t>www.dumouchel.fr</t>
        </is>
      </c>
      <c r="J87" s="15" t="inlineStr">
        <is>
          <t>02 31 24 65 20</t>
        </is>
      </c>
      <c r="K87" s="20" t="inlineStr">
        <is>
          <t>Voir</t>
        </is>
      </c>
      <c r="L87" s="21" t="inlineStr">
        <is>
          <t>À contacter</t>
        </is>
      </c>
      <c r="M87" s="21" t="n"/>
      <c r="N87" s="21" t="n"/>
      <c r="O87" s="21" t="n"/>
      <c r="P87" s="15" t="inlineStr">
        <is>
          <t>3e liste (12/10)</t>
        </is>
      </c>
    </row>
    <row r="88" ht="41.25" customHeight="1" s="13">
      <c r="A88" s="15" t="n">
        <v>87</v>
      </c>
      <c r="B88" s="15" t="inlineStr">
        <is>
          <t>Pro France</t>
        </is>
      </c>
      <c r="C88" s="15" t="n">
        <v>2</v>
      </c>
      <c r="D88" s="15" t="inlineStr">
        <is>
          <t>Rénovation haut de gamme</t>
        </is>
      </c>
      <c r="E88" s="15" t="inlineStr">
        <is>
          <t>VMA</t>
        </is>
      </c>
      <c r="F88" s="15" t="inlineStr">
        <is>
          <t>Touques (14800)</t>
        </is>
      </c>
      <c r="G88" s="15" t="inlineStr">
        <is>
          <t>Normandie</t>
        </is>
      </c>
      <c r="H88" s="15" t="inlineStr">
        <is>
          <t>Entreprise de rénovation voisine de Deauville (salles de bains, cuisines, terrasses en pierres naturelles) : elle pourrait utiliser MINYALA sur ses chantiers de la Côte Fleurie.</t>
        </is>
      </c>
      <c r="I88" s="20" t="inlineStr">
        <is>
          <t>www.vma14.com</t>
        </is>
      </c>
      <c r="J88" s="15" t="inlineStr">
        <is>
          <t>02 31 98 21 53</t>
        </is>
      </c>
      <c r="K88" s="20" t="inlineStr">
        <is>
          <t>Voir</t>
        </is>
      </c>
      <c r="L88" s="21" t="inlineStr">
        <is>
          <t>À contacter</t>
        </is>
      </c>
      <c r="M88" s="21" t="n"/>
      <c r="N88" s="21" t="n"/>
      <c r="O88" s="21" t="n"/>
      <c r="P88" s="15" t="inlineStr">
        <is>
          <t>3e liste (12/10)</t>
        </is>
      </c>
    </row>
    <row r="89" ht="54.75" customHeight="1" s="13">
      <c r="A89" s="15" t="n">
        <v>88</v>
      </c>
      <c r="B89" s="15" t="inlineStr">
        <is>
          <t>Pro France</t>
        </is>
      </c>
      <c r="C89" s="15" t="n">
        <v>2</v>
      </c>
      <c r="D89" s="15" t="inlineStr">
        <is>
          <t>Pisciniste</t>
        </is>
      </c>
      <c r="E89" s="15" t="inlineStr">
        <is>
          <t>Vincent Locquet</t>
        </is>
      </c>
      <c r="F89" s="15" t="inlineStr">
        <is>
          <t>Le Torpt (27210)</t>
        </is>
      </c>
      <c r="G89" s="15" t="inlineStr">
        <is>
          <t>Normandie</t>
        </is>
      </c>
      <c r="H89" s="15" t="inlineStr">
        <is>
          <t>Constructeur de piscines près de Honfleur qui pose des terrasses en pierre naturelle et installe des hammams : il pourrait utiliser MINYALA pour ses plages et ses espaces bien-être (usage à valider avec lui : finition, gel, glissance, humidité).</t>
        </is>
      </c>
      <c r="I89" s="20" t="inlineStr">
        <is>
          <t>www.vincent-locquet.fr</t>
        </is>
      </c>
      <c r="J89" s="15" t="inlineStr">
        <is>
          <t>02 32 41 00 91</t>
        </is>
      </c>
      <c r="K89" s="20" t="inlineStr">
        <is>
          <t>Voir</t>
        </is>
      </c>
      <c r="L89" s="21" t="inlineStr">
        <is>
          <t>À contacter</t>
        </is>
      </c>
      <c r="M89" s="21" t="n"/>
      <c r="N89" s="21" t="n"/>
      <c r="O89" s="21" t="n"/>
      <c r="P89" s="15" t="inlineStr">
        <is>
          <t>3e liste (12/10)</t>
        </is>
      </c>
    </row>
    <row r="90" ht="41.25" customHeight="1" s="13">
      <c r="A90" s="15" t="n">
        <v>89</v>
      </c>
      <c r="B90" s="15" t="inlineStr">
        <is>
          <t>Pro France</t>
        </is>
      </c>
      <c r="C90" s="15" t="n">
        <v>2</v>
      </c>
      <c r="D90" s="15" t="inlineStr">
        <is>
          <t>Constructeur de maisons</t>
        </is>
      </c>
      <c r="E90" s="15" t="inlineStr">
        <is>
          <t>Volkaert Constructions</t>
        </is>
      </c>
      <c r="F90" s="15" t="inlineStr">
        <is>
          <t>Deauville (14800)</t>
        </is>
      </c>
      <c r="G90" s="15" t="inlineStr">
        <is>
          <t>Normandie</t>
        </is>
      </c>
      <c r="H90" s="15" t="inlineStr">
        <is>
          <t>Constructeur de maisons normandes haut de gamme sur la Côte Fleurie, qui fait aussi extensions et terrasses : MINYALA pourrait habiller les sols et terrasses de ses chantiers.</t>
        </is>
      </c>
      <c r="I90" s="20" t="inlineStr">
        <is>
          <t>www.volkaert-constructions.fr</t>
        </is>
      </c>
      <c r="J90" s="15" t="inlineStr">
        <is>
          <t>02 31 98 55 58</t>
        </is>
      </c>
      <c r="K90" s="20" t="inlineStr">
        <is>
          <t>Voir</t>
        </is>
      </c>
      <c r="L90" s="21" t="inlineStr">
        <is>
          <t>À contacter</t>
        </is>
      </c>
      <c r="M90" s="21" t="n"/>
      <c r="N90" s="21" t="n"/>
      <c r="O90" s="21" t="n"/>
      <c r="P90" s="15" t="inlineStr">
        <is>
          <t>3e liste (12/10)</t>
        </is>
      </c>
    </row>
    <row r="91" ht="54.75" customHeight="1" s="13">
      <c r="A91" s="15" t="n">
        <v>90</v>
      </c>
      <c r="B91" s="15" t="inlineStr">
        <is>
          <t>Pro France</t>
        </is>
      </c>
      <c r="C91" s="15" t="n">
        <v>2</v>
      </c>
      <c r="D91" s="15" t="inlineStr">
        <is>
          <t>Carreleur / poseur pierre</t>
        </is>
      </c>
      <c r="E91" s="15" t="inlineStr">
        <is>
          <t>Yoann Lambert SARL (YL Carrelage)</t>
        </is>
      </c>
      <c r="F91" s="15" t="inlineStr">
        <is>
          <t>Gonfreville-l'Orcher (76700)</t>
        </is>
      </c>
      <c r="G91" s="15" t="inlineStr">
        <is>
          <t>Normandie</t>
        </is>
      </c>
      <c r="H91" s="15" t="inlineStr">
        <is>
          <t>Carreleur normand qui réalise des hammams et pose déjà de la pierre naturelle (Bourgogne, Comblanchien, marbre), il pourrait proposer MINYALA comme autre pierre claire à ses clients (usage à valider avec lui : finition, gel, glissance, humidité).</t>
        </is>
      </c>
      <c r="I91" s="20" t="inlineStr">
        <is>
          <t>yl-carrelage.fr</t>
        </is>
      </c>
      <c r="J91" s="15" t="inlineStr">
        <is>
          <t>02 35 41 74 30</t>
        </is>
      </c>
      <c r="K91" s="20" t="inlineStr">
        <is>
          <t>Voir</t>
        </is>
      </c>
      <c r="L91" s="21" t="inlineStr">
        <is>
          <t>À contacter</t>
        </is>
      </c>
      <c r="M91" s="21" t="n"/>
      <c r="N91" s="21" t="n"/>
      <c r="O91" s="21" t="n"/>
      <c r="P91" s="15" t="inlineStr">
        <is>
          <t>3e liste (12/10)</t>
        </is>
      </c>
    </row>
    <row r="92" ht="41.25" customHeight="1" s="13">
      <c r="A92" s="15" t="n">
        <v>91</v>
      </c>
      <c r="B92" s="15" t="inlineStr">
        <is>
          <t>Pro France</t>
        </is>
      </c>
      <c r="C92" s="15" t="n">
        <v>2</v>
      </c>
      <c r="D92" s="15" t="inlineStr">
        <is>
          <t>Paysagiste</t>
        </is>
      </c>
      <c r="E92" s="15" t="inlineStr">
        <is>
          <t>Agave Paysage</t>
        </is>
      </c>
      <c r="F92" s="15" t="inlineStr">
        <is>
          <t>Paris (75017)</t>
        </is>
      </c>
      <c r="G92" s="15" t="inlineStr">
        <is>
          <t>Île-de-France</t>
        </is>
      </c>
      <c r="H92" s="15" t="inlineStr">
        <is>
          <t>Ce paysagiste parisien pose des dallages en pierre sur plots ou sur lit de sable pour des terrasses, à vérifier avec lui : un calcaire de 2 cm est déconseillé sur plots sans avis technique.</t>
        </is>
      </c>
      <c r="I92" s="20" t="inlineStr">
        <is>
          <t>agavepaysage.fr</t>
        </is>
      </c>
      <c r="J92" s="15" t="inlineStr">
        <is>
          <t>06 65 78 30 40</t>
        </is>
      </c>
      <c r="K92" s="20" t="inlineStr">
        <is>
          <t>Voir</t>
        </is>
      </c>
      <c r="L92" s="21" t="inlineStr">
        <is>
          <t>À contacter</t>
        </is>
      </c>
      <c r="M92" s="21" t="n"/>
      <c r="N92" s="21" t="n"/>
      <c r="O92" s="21" t="n"/>
      <c r="P92" s="15" t="inlineStr">
        <is>
          <t>2e liste (12/10)</t>
        </is>
      </c>
    </row>
    <row r="93" ht="15" customHeight="1" s="13">
      <c r="A93" s="15" t="n">
        <v>92</v>
      </c>
      <c r="B93" s="15" t="inlineStr">
        <is>
          <t>Pro France</t>
        </is>
      </c>
      <c r="C93" s="15" t="n">
        <v>2</v>
      </c>
      <c r="D93" s="15" t="inlineStr">
        <is>
          <t>Paysagiste</t>
        </is>
      </c>
      <c r="E93" s="15" t="inlineStr">
        <is>
          <t>Alinea Paysage</t>
        </is>
      </c>
      <c r="F93" s="15" t="inlineStr">
        <is>
          <t>Colombes (92700)</t>
        </is>
      </c>
      <c r="G93" s="15" t="inlineStr">
        <is>
          <t>Île-de-France</t>
        </is>
      </c>
      <c r="H93" s="15" t="inlineStr">
        <is>
          <t>Paysagiste établi depuis 2004. Voisin de Gennevilliers.</t>
        </is>
      </c>
      <c r="I93" s="15" t="n"/>
      <c r="J93" s="15" t="n"/>
      <c r="K93" s="20" t="inlineStr">
        <is>
          <t>Voir</t>
        </is>
      </c>
      <c r="L93" s="21" t="inlineStr">
        <is>
          <t>À contacter</t>
        </is>
      </c>
      <c r="M93" s="21" t="n"/>
      <c r="N93" s="21" t="n"/>
      <c r="O93" s="21" t="n"/>
      <c r="P93" s="15" t="inlineStr">
        <is>
          <t>1re liste (08/10)</t>
        </is>
      </c>
    </row>
    <row r="94" ht="15" customHeight="1" s="13">
      <c r="A94" s="15" t="n">
        <v>93</v>
      </c>
      <c r="B94" s="15" t="inlineStr">
        <is>
          <t>Pro France</t>
        </is>
      </c>
      <c r="C94" s="15" t="n">
        <v>2</v>
      </c>
      <c r="D94" s="15" t="inlineStr">
        <is>
          <t>Paysagiste</t>
        </is>
      </c>
      <c r="E94" s="15" t="inlineStr">
        <is>
          <t>Apex Paysage</t>
        </is>
      </c>
      <c r="F94" s="15" t="inlineStr">
        <is>
          <t>Bourg-la-Reine (92340)</t>
        </is>
      </c>
      <c r="G94" s="15" t="inlineStr">
        <is>
          <t>Île-de-France</t>
        </is>
      </c>
      <c r="H94" s="15" t="inlineStr">
        <is>
          <t>Aménagement de terrasses et pavage extérieur.</t>
        </is>
      </c>
      <c r="I94" s="15" t="n"/>
      <c r="J94" s="15" t="n"/>
      <c r="K94" s="20" t="inlineStr">
        <is>
          <t>Voir</t>
        </is>
      </c>
      <c r="L94" s="21" t="inlineStr">
        <is>
          <t>À contacter</t>
        </is>
      </c>
      <c r="M94" s="21" t="n"/>
      <c r="N94" s="21" t="n"/>
      <c r="O94" s="21" t="n"/>
      <c r="P94" s="15" t="inlineStr">
        <is>
          <t>1re liste (08/10)</t>
        </is>
      </c>
    </row>
    <row r="95" ht="41.25" customHeight="1" s="13">
      <c r="A95" s="15" t="n">
        <v>94</v>
      </c>
      <c r="B95" s="15" t="inlineStr">
        <is>
          <t>Pro France</t>
        </is>
      </c>
      <c r="C95" s="15" t="n">
        <v>2</v>
      </c>
      <c r="D95" s="15" t="inlineStr">
        <is>
          <t>Paysagiste</t>
        </is>
      </c>
      <c r="E95" s="15" t="inlineStr">
        <is>
          <t>Apis Florae</t>
        </is>
      </c>
      <c r="F95" s="15" t="inlineStr">
        <is>
          <t>Rueil-Malmaison (92500)</t>
        </is>
      </c>
      <c r="G95" s="15" t="inlineStr">
        <is>
          <t>Île-de-France</t>
        </is>
      </c>
      <c r="H95" s="15" t="inlineStr">
        <is>
          <t>Ce paysagiste de Rueil primé sur Houzz fait de la maçonnerie, des terrasses et des abords de piscine : il pourrait proposer MINYALA à ses clients (usage à valider avec lui : finition, gel, glissance, humidité).</t>
        </is>
      </c>
      <c r="I95" s="20" t="inlineStr">
        <is>
          <t>www.apisflorae.com</t>
        </is>
      </c>
      <c r="J95" s="15" t="inlineStr">
        <is>
          <t>01 86 90 59 31</t>
        </is>
      </c>
      <c r="K95" s="20" t="inlineStr">
        <is>
          <t>Voir</t>
        </is>
      </c>
      <c r="L95" s="21" t="inlineStr">
        <is>
          <t>À contacter</t>
        </is>
      </c>
      <c r="M95" s="21" t="n"/>
      <c r="N95" s="21" t="n"/>
      <c r="O95" s="21" t="n"/>
      <c r="P95" s="15" t="inlineStr">
        <is>
          <t>2e liste (12/10)</t>
        </is>
      </c>
    </row>
    <row r="96" ht="54.75" customHeight="1" s="13">
      <c r="A96" s="15" t="n">
        <v>95</v>
      </c>
      <c r="B96" s="15" t="inlineStr">
        <is>
          <t>Pro France</t>
        </is>
      </c>
      <c r="C96" s="15" t="n">
        <v>2</v>
      </c>
      <c r="D96" s="15" t="inlineStr">
        <is>
          <t>Pisciniste</t>
        </is>
      </c>
      <c r="E96" s="15" t="inlineStr">
        <is>
          <t>Aqua Garden</t>
        </is>
      </c>
      <c r="F96" s="15" t="inlineStr">
        <is>
          <t>Les Essarts-le-Roi (78690)</t>
        </is>
      </c>
      <c r="G96" s="15" t="inlineStr">
        <is>
          <t>Île-de-France</t>
        </is>
      </c>
      <c r="H96" s="15" t="inlineStr">
        <is>
          <t>Ce pisciniste fait aussi la maçonnerie et les aménagements extérieurs et paysagers : il peut poser MINYALA en plage ou en terrasse autour de ses bassins (usage à valider avec lui : finition, gel, glissance, humidité).</t>
        </is>
      </c>
      <c r="I96" s="20" t="inlineStr">
        <is>
          <t>aquagarden78.fr</t>
        </is>
      </c>
      <c r="J96" s="15" t="inlineStr">
        <is>
          <t>01 30 46 06 70</t>
        </is>
      </c>
      <c r="K96" s="20" t="inlineStr">
        <is>
          <t>Voir</t>
        </is>
      </c>
      <c r="L96" s="21" t="inlineStr">
        <is>
          <t>À contacter</t>
        </is>
      </c>
      <c r="M96" s="21" t="n"/>
      <c r="N96" s="21" t="n"/>
      <c r="O96" s="21" t="n"/>
      <c r="P96" s="15" t="inlineStr">
        <is>
          <t>2e liste (12/10)</t>
        </is>
      </c>
    </row>
    <row r="97" ht="54.75" customHeight="1" s="13">
      <c r="A97" s="15" t="n">
        <v>96</v>
      </c>
      <c r="B97" s="15" t="inlineStr">
        <is>
          <t>Pro France</t>
        </is>
      </c>
      <c r="C97" s="15" t="n">
        <v>2</v>
      </c>
      <c r="D97" s="15" t="inlineStr">
        <is>
          <t>Rénovation haut de gamme</t>
        </is>
      </c>
      <c r="E97" s="15" t="inlineStr">
        <is>
          <t>Architéa Vallée de la Seine-Ouest</t>
        </is>
      </c>
      <c r="F97" s="15" t="inlineStr">
        <is>
          <t>Buchelay (78200)</t>
        </is>
      </c>
      <c r="G97" s="15" t="inlineStr">
        <is>
          <t>Île-de-France</t>
        </is>
      </c>
      <c r="H97" s="15" t="inlineStr">
        <is>
          <t>Contractant général du secteur Mantes-Vernon qui réalise extensions, cuisines, salles de bains, piscines et terrasses, dont des terrasses en pierre naturelle, il pourrait choisir MINYALA pour ses chantiers (usage à valider avec lui : finition, gel, glissance, humidité).</t>
        </is>
      </c>
      <c r="I97" s="20" t="inlineStr">
        <is>
          <t>www.architea.fr/architea-vallee-de-la-seine-ouest</t>
        </is>
      </c>
      <c r="J97" s="15" t="inlineStr">
        <is>
          <t>01 89 43 02 63</t>
        </is>
      </c>
      <c r="K97" s="20" t="inlineStr">
        <is>
          <t>Voir</t>
        </is>
      </c>
      <c r="L97" s="21" t="inlineStr">
        <is>
          <t>À contacter</t>
        </is>
      </c>
      <c r="M97" s="21" t="n"/>
      <c r="N97" s="21" t="n"/>
      <c r="O97" s="21" t="n"/>
      <c r="P97" s="15" t="inlineStr">
        <is>
          <t>3e liste (12/10)</t>
        </is>
      </c>
    </row>
    <row r="98" ht="41.25" customHeight="1" s="13">
      <c r="A98" s="15" t="n">
        <v>97</v>
      </c>
      <c r="B98" s="15" t="inlineStr">
        <is>
          <t>Pro France</t>
        </is>
      </c>
      <c r="C98" s="15" t="n">
        <v>2</v>
      </c>
      <c r="D98" s="15" t="inlineStr">
        <is>
          <t>Constructeur de maisons</t>
        </is>
      </c>
      <c r="E98" s="15" t="inlineStr">
        <is>
          <t>Archivim</t>
        </is>
      </c>
      <c r="F98" s="15" t="inlineStr">
        <is>
          <t>Saint-Germain-en-Laye (78100)</t>
        </is>
      </c>
      <c r="G98" s="15" t="inlineStr">
        <is>
          <t>Île-de-France</t>
        </is>
      </c>
      <c r="H98" s="15" t="inlineStr">
        <is>
          <t>Constructeur de maisons individuelles haut de gamme sur mesure dans l'ouest francilien : ses maisons peuvent recevoir des sols et des terrasses en pierre naturelle comme MINYALA.</t>
        </is>
      </c>
      <c r="I98" s="20" t="inlineStr">
        <is>
          <t>www.archivim.fr</t>
        </is>
      </c>
      <c r="J98" s="15" t="inlineStr">
        <is>
          <t>01 39 58 56 20</t>
        </is>
      </c>
      <c r="K98" s="20" t="inlineStr">
        <is>
          <t>Voir</t>
        </is>
      </c>
      <c r="L98" s="21" t="inlineStr">
        <is>
          <t>À contacter</t>
        </is>
      </c>
      <c r="M98" s="21" t="n"/>
      <c r="N98" s="21" t="n"/>
      <c r="O98" s="21" t="n"/>
      <c r="P98" s="15" t="inlineStr">
        <is>
          <t>3e liste (12/10)</t>
        </is>
      </c>
    </row>
    <row r="99" ht="41.25" customHeight="1" s="13">
      <c r="A99" s="15" t="n">
        <v>98</v>
      </c>
      <c r="B99" s="15" t="inlineStr">
        <is>
          <t>Pro France</t>
        </is>
      </c>
      <c r="C99" s="15" t="n">
        <v>2</v>
      </c>
      <c r="D99" s="15" t="inlineStr">
        <is>
          <t>Paysagiste</t>
        </is>
      </c>
      <c r="E99" s="15" t="inlineStr">
        <is>
          <t>Art des Jardins-Zory</t>
        </is>
      </c>
      <c r="F99" s="15" t="inlineStr">
        <is>
          <t>Argenteuil (95100)</t>
        </is>
      </c>
      <c r="G99" s="15" t="inlineStr">
        <is>
          <t>Île-de-France</t>
        </is>
      </c>
      <c r="H99" s="15" t="inlineStr">
        <is>
          <t>Cette entreprise de maçonnerie paysagère d'Argenteuil, qui pose dallages et pierres naturelles, peut venir chercher MINYALA à Gennevilliers pour ses terrasses.</t>
        </is>
      </c>
      <c r="I99" s="20" t="inlineStr">
        <is>
          <t>www.artdesjardins-zory.fr</t>
        </is>
      </c>
      <c r="J99" s="15" t="inlineStr">
        <is>
          <t>01 39 82 22 86</t>
        </is>
      </c>
      <c r="K99" s="20" t="inlineStr">
        <is>
          <t>Voir</t>
        </is>
      </c>
      <c r="L99" s="21" t="inlineStr">
        <is>
          <t>À contacter</t>
        </is>
      </c>
      <c r="M99" s="21" t="n"/>
      <c r="N99" s="21" t="n"/>
      <c r="O99" s="21" t="n"/>
      <c r="P99" s="15" t="inlineStr">
        <is>
          <t>2e liste (12/10)</t>
        </is>
      </c>
    </row>
    <row r="100" ht="27.75" customHeight="1" s="13">
      <c r="A100" s="15" t="n">
        <v>99</v>
      </c>
      <c r="B100" s="15" t="inlineStr">
        <is>
          <t>Pro France</t>
        </is>
      </c>
      <c r="C100" s="15" t="n">
        <v>2</v>
      </c>
      <c r="D100" s="15" t="inlineStr">
        <is>
          <t>Paysagiste</t>
        </is>
      </c>
      <c r="E100" s="15" t="inlineStr">
        <is>
          <t>Atelier Concept Paysage (ACP)</t>
        </is>
      </c>
      <c r="F100" s="15" t="inlineStr">
        <is>
          <t>La Garenne-Colombes (92250)</t>
        </is>
      </c>
      <c r="G100" s="15" t="inlineStr">
        <is>
          <t>Île-de-France</t>
        </is>
      </c>
      <c r="H100" s="15" t="inlineStr">
        <is>
          <t>Ce paysagiste voisin de Gennevilliers pose des dallages de jardin et du pavage, MINYALA peut y être proposé selon finition et pose.</t>
        </is>
      </c>
      <c r="I100" s="20" t="inlineStr">
        <is>
          <t>www.atelier-concept-paysage.com</t>
        </is>
      </c>
      <c r="J100" s="15" t="inlineStr">
        <is>
          <t>01 56 83 10 45</t>
        </is>
      </c>
      <c r="K100" s="20" t="inlineStr">
        <is>
          <t>Voir</t>
        </is>
      </c>
      <c r="L100" s="21" t="inlineStr">
        <is>
          <t>À contacter</t>
        </is>
      </c>
      <c r="M100" s="21" t="n"/>
      <c r="N100" s="21" t="n"/>
      <c r="O100" s="21" t="n"/>
      <c r="P100" s="15" t="inlineStr">
        <is>
          <t>2e liste (12/10)</t>
        </is>
      </c>
    </row>
    <row r="101" ht="15" customHeight="1" s="13">
      <c r="A101" s="15" t="n">
        <v>100</v>
      </c>
      <c r="B101" s="15" t="inlineStr">
        <is>
          <t>Pro France</t>
        </is>
      </c>
      <c r="C101" s="15" t="n">
        <v>2</v>
      </c>
      <c r="D101" s="15" t="inlineStr">
        <is>
          <t>Carreleur / poseur pierre</t>
        </is>
      </c>
      <c r="E101" s="15" t="inlineStr">
        <is>
          <t>Badiaga Renov</t>
        </is>
      </c>
      <c r="F101" s="15" t="inlineStr">
        <is>
          <t>Paris 20e (75020)</t>
        </is>
      </c>
      <c r="G101" s="15" t="inlineStr">
        <is>
          <t>Île-de-France</t>
        </is>
      </c>
      <c r="H101" s="15" t="inlineStr">
        <is>
          <t>Marbrerie et pose de pierres naturelles.</t>
        </is>
      </c>
      <c r="I101" s="15" t="n"/>
      <c r="J101" s="15" t="n"/>
      <c r="K101" s="20" t="inlineStr">
        <is>
          <t>Voir</t>
        </is>
      </c>
      <c r="L101" s="21" t="inlineStr">
        <is>
          <t>À contacter</t>
        </is>
      </c>
      <c r="M101" s="21" t="n"/>
      <c r="N101" s="21" t="n"/>
      <c r="O101" s="21" t="n"/>
      <c r="P101" s="15" t="inlineStr">
        <is>
          <t>1re liste (08/10)</t>
        </is>
      </c>
    </row>
    <row r="102" ht="41.25" customHeight="1" s="13">
      <c r="A102" s="15" t="n">
        <v>101</v>
      </c>
      <c r="B102" s="15" t="inlineStr">
        <is>
          <t>Pro France</t>
        </is>
      </c>
      <c r="C102" s="15" t="n">
        <v>2</v>
      </c>
      <c r="D102" s="15" t="inlineStr">
        <is>
          <t>Négoce / revendeur</t>
        </is>
      </c>
      <c r="E102" s="15" t="inlineStr">
        <is>
          <t>Bati Centre</t>
        </is>
      </c>
      <c r="F102" s="15" t="inlineStr">
        <is>
          <t>Romainville (93230)</t>
        </is>
      </c>
      <c r="G102" s="15" t="inlineStr">
        <is>
          <t>Île-de-France</t>
        </is>
      </c>
      <c r="H102" s="15" t="inlineStr">
        <is>
          <t>Ce revendeur de carrelages, dallages et pierres naturelles, avec showroom en Seine-Saint-Denis, peut acheter MINYALA par lots pour sa clientèle.</t>
        </is>
      </c>
      <c r="I102" s="20" t="inlineStr">
        <is>
          <t>www.baticentre.fr</t>
        </is>
      </c>
      <c r="J102" s="15" t="inlineStr">
        <is>
          <t>01 48 57 44 56</t>
        </is>
      </c>
      <c r="K102" s="20" t="inlineStr">
        <is>
          <t>Voir</t>
        </is>
      </c>
      <c r="L102" s="21" t="inlineStr">
        <is>
          <t>À contacter</t>
        </is>
      </c>
      <c r="M102" s="21" t="n"/>
      <c r="N102" s="21" t="n"/>
      <c r="O102" s="21" t="n"/>
      <c r="P102" s="15" t="inlineStr">
        <is>
          <t>2e liste (12/10)</t>
        </is>
      </c>
    </row>
    <row r="103" ht="41.25" customHeight="1" s="13">
      <c r="A103" s="15" t="n">
        <v>102</v>
      </c>
      <c r="B103" s="15" t="inlineStr">
        <is>
          <t>Pro France</t>
        </is>
      </c>
      <c r="C103" s="15" t="n">
        <v>2</v>
      </c>
      <c r="D103" s="15" t="inlineStr">
        <is>
          <t>Marbrerie</t>
        </is>
      </c>
      <c r="E103" s="15" t="inlineStr">
        <is>
          <t>Blocstone</t>
        </is>
      </c>
      <c r="F103" s="15" t="inlineStr">
        <is>
          <t>Gazeran (78125)</t>
        </is>
      </c>
      <c r="G103" s="15" t="inlineStr">
        <is>
          <t>Île-de-France</t>
        </is>
      </c>
      <c r="H103" s="15" t="inlineStr">
        <is>
          <t>Atelier de pierres naturelles avec showroom près de Rambouillet, qui réalise sols, dallages et escaliers sur mesure : il pourrait proposer MINYALA pour les sols de ses clients.</t>
        </is>
      </c>
      <c r="I103" s="20" t="inlineStr">
        <is>
          <t>www.blocstone.com</t>
        </is>
      </c>
      <c r="J103" s="15" t="n"/>
      <c r="K103" s="20" t="inlineStr">
        <is>
          <t>Voir</t>
        </is>
      </c>
      <c r="L103" s="21" t="inlineStr">
        <is>
          <t>À contacter</t>
        </is>
      </c>
      <c r="M103" s="21" t="n"/>
      <c r="N103" s="21" t="n"/>
      <c r="O103" s="21" t="n"/>
      <c r="P103" s="15" t="inlineStr">
        <is>
          <t>3e liste (12/10)</t>
        </is>
      </c>
    </row>
    <row r="104" ht="54.75" customHeight="1" s="13">
      <c r="A104" s="15" t="n">
        <v>103</v>
      </c>
      <c r="B104" s="15" t="inlineStr">
        <is>
          <t>Pro France</t>
        </is>
      </c>
      <c r="C104" s="15" t="n">
        <v>2</v>
      </c>
      <c r="D104" s="15" t="inlineStr">
        <is>
          <t>Carreleur / poseur pierre</t>
        </is>
      </c>
      <c r="E104" s="15" t="inlineStr">
        <is>
          <t>CI Rénovation</t>
        </is>
      </c>
      <c r="F104" s="15" t="inlineStr">
        <is>
          <t>Jumeauville (78580)</t>
        </is>
      </c>
      <c r="G104" s="15" t="inlineStr">
        <is>
          <t>Île-de-France</t>
        </is>
      </c>
      <c r="H104" s="15" t="inlineStr">
        <is>
          <t>Entreprise des Yvelines qui pose déjà des terrasses en pierre naturelle (travertin, quartzite, granit), traditionnellement ou sur plots : MINYALA pourrait entrer dans ses choix de dallage (usage à valider avec lui : finition, gel, glissance, humidité).</t>
        </is>
      </c>
      <c r="I104" s="20" t="inlineStr">
        <is>
          <t>ci-renovation-78.fr</t>
        </is>
      </c>
      <c r="J104" s="15" t="inlineStr">
        <is>
          <t>06 33 48 92 19</t>
        </is>
      </c>
      <c r="K104" s="20" t="inlineStr">
        <is>
          <t>Voir</t>
        </is>
      </c>
      <c r="L104" s="21" t="inlineStr">
        <is>
          <t>À contacter</t>
        </is>
      </c>
      <c r="M104" s="21" t="n"/>
      <c r="N104" s="21" t="n"/>
      <c r="O104" s="21" t="n"/>
      <c r="P104" s="15" t="inlineStr">
        <is>
          <t>3e liste (12/10)</t>
        </is>
      </c>
    </row>
    <row r="105" ht="41.25" customHeight="1" s="13">
      <c r="A105" s="15" t="n">
        <v>104</v>
      </c>
      <c r="B105" s="15" t="inlineStr">
        <is>
          <t>Pro France</t>
        </is>
      </c>
      <c r="C105" s="15" t="n">
        <v>2</v>
      </c>
      <c r="D105" s="15" t="inlineStr">
        <is>
          <t>Showroom carrelage</t>
        </is>
      </c>
      <c r="E105" s="15" t="inlineStr">
        <is>
          <t>Ceramica Fusaro</t>
        </is>
      </c>
      <c r="F105" s="15" t="inlineStr">
        <is>
          <t>Paris (75007)</t>
        </is>
      </c>
      <c r="G105" s="15" t="inlineStr">
        <is>
          <t>Île-de-France</t>
        </is>
      </c>
      <c r="H105" s="15" t="inlineStr">
        <is>
          <t>Grand distributeur de carrelage et de marbre avec showroom à Paris 7e et un stock important, il pourrait ajouter un calcaire naturel disponible immédiatement à son catalogue.</t>
        </is>
      </c>
      <c r="I105" s="20" t="inlineStr">
        <is>
          <t>www.ceramica.fr</t>
        </is>
      </c>
      <c r="J105" s="15" t="inlineStr">
        <is>
          <t>01 60 18 19 50</t>
        </is>
      </c>
      <c r="K105" s="20" t="inlineStr">
        <is>
          <t>Voir</t>
        </is>
      </c>
      <c r="L105" s="21" t="inlineStr">
        <is>
          <t>À contacter</t>
        </is>
      </c>
      <c r="M105" s="21" t="n"/>
      <c r="N105" s="21" t="n"/>
      <c r="O105" s="21" t="n"/>
      <c r="P105" s="15" t="inlineStr">
        <is>
          <t>2e liste (12/10)</t>
        </is>
      </c>
    </row>
    <row r="106" ht="54.75" customHeight="1" s="13">
      <c r="A106" s="15" t="n">
        <v>105</v>
      </c>
      <c r="B106" s="15" t="inlineStr">
        <is>
          <t>Pro France</t>
        </is>
      </c>
      <c r="C106" s="15" t="n">
        <v>2</v>
      </c>
      <c r="D106" s="15" t="inlineStr">
        <is>
          <t>Hôtel / restaurant</t>
        </is>
      </c>
      <c r="E106" s="15" t="inlineStr">
        <is>
          <t>Crowne Plaza Paris Marne-la-Vallée</t>
        </is>
      </c>
      <c r="F106" s="15" t="inlineStr">
        <is>
          <t>Magny-le-Hongre (77700)</t>
        </is>
      </c>
      <c r="G106" s="15" t="inlineStr">
        <is>
          <t>Île-de-France</t>
        </is>
      </c>
      <c r="H106" s="15" t="inlineStr">
        <is>
          <t>Ancien Radisson Blu rénové par IHG qui prévoit une piscine extérieure avec bar pour le printemps 2027 : ses plages et terrasses sont une occasion pour MINYALA selon la finition et la pose (usage à valider avec lui : finition, gel, glissance, humidité).</t>
        </is>
      </c>
      <c r="I106" s="15" t="n"/>
      <c r="J106" s="15" t="n"/>
      <c r="K106" s="20" t="inlineStr">
        <is>
          <t>Voir</t>
        </is>
      </c>
      <c r="L106" s="21" t="inlineStr">
        <is>
          <t>À contacter</t>
        </is>
      </c>
      <c r="M106" s="21" t="n"/>
      <c r="N106" s="21" t="n"/>
      <c r="O106" s="21" t="n"/>
      <c r="P106" s="15" t="inlineStr">
        <is>
          <t>3e liste (12/10)</t>
        </is>
      </c>
    </row>
    <row r="107" ht="54.75" customHeight="1" s="13">
      <c r="A107" s="15" t="n">
        <v>106</v>
      </c>
      <c r="B107" s="15" t="inlineStr">
        <is>
          <t>Pro France</t>
        </is>
      </c>
      <c r="C107" s="15" t="n">
        <v>2</v>
      </c>
      <c r="D107" s="15" t="inlineStr">
        <is>
          <t>Spa / hammam</t>
        </is>
      </c>
      <c r="E107" s="15" t="inlineStr">
        <is>
          <t>DPS France</t>
        </is>
      </c>
      <c r="F107" s="15" t="inlineStr">
        <is>
          <t>Villeneuve-Saint-Georges (94190)</t>
        </is>
      </c>
      <c r="G107" s="15" t="inlineStr">
        <is>
          <t>Île-de-France</t>
        </is>
      </c>
      <c r="H107" s="15" t="inlineStr">
        <is>
          <t>Installateur de hammams maçonnés en Île-de-France dont les cabines ont des bancs en pierre ou en marbre : MINYALA pourrait habiller les sols et les banquettes (usage à valider avec lui : finition, gel, glissance, humidité).</t>
        </is>
      </c>
      <c r="I107" s="20" t="inlineStr">
        <is>
          <t>www.dps-france.fr</t>
        </is>
      </c>
      <c r="J107" s="15" t="inlineStr">
        <is>
          <t>06 51 10 63 22</t>
        </is>
      </c>
      <c r="K107" s="20" t="inlineStr">
        <is>
          <t>Voir</t>
        </is>
      </c>
      <c r="L107" s="21" t="inlineStr">
        <is>
          <t>À contacter</t>
        </is>
      </c>
      <c r="M107" s="21" t="n"/>
      <c r="N107" s="21" t="n"/>
      <c r="O107" s="21" t="n"/>
      <c r="P107" s="15" t="inlineStr">
        <is>
          <t>3e liste (12/10)</t>
        </is>
      </c>
    </row>
    <row r="108" ht="27.75" customHeight="1" s="13">
      <c r="A108" s="15" t="n">
        <v>107</v>
      </c>
      <c r="B108" s="15" t="inlineStr">
        <is>
          <t>Pro France</t>
        </is>
      </c>
      <c r="C108" s="15" t="n">
        <v>2</v>
      </c>
      <c r="D108" s="15" t="inlineStr">
        <is>
          <t>Pisciniste</t>
        </is>
      </c>
      <c r="E108" s="15" t="inlineStr">
        <is>
          <t>Diffazur (agence Paris)</t>
        </is>
      </c>
      <c r="F108" s="15" t="inlineStr">
        <is>
          <t>Paris, couvre le 92 et le 95</t>
        </is>
      </c>
      <c r="G108" s="15" t="inlineStr">
        <is>
          <t>Île-de-France</t>
        </is>
      </c>
      <c r="H108" s="15" t="inlineStr">
        <is>
          <t>Constructeur de piscines : les plages et abords se font en dallage (usage à valider avec lui : finition, gel, glissance, humidité).</t>
        </is>
      </c>
      <c r="I108" s="15" t="n"/>
      <c r="J108" s="15" t="n"/>
      <c r="K108" s="20" t="inlineStr">
        <is>
          <t>Voir</t>
        </is>
      </c>
      <c r="L108" s="21" t="inlineStr">
        <is>
          <t>À contacter</t>
        </is>
      </c>
      <c r="M108" s="21" t="n"/>
      <c r="N108" s="21" t="n"/>
      <c r="O108" s="21" t="n"/>
      <c r="P108" s="15" t="inlineStr">
        <is>
          <t>1re liste (08/10)</t>
        </is>
      </c>
    </row>
    <row r="109" ht="41.25" customHeight="1" s="13">
      <c r="A109" s="15" t="n">
        <v>108</v>
      </c>
      <c r="B109" s="15" t="inlineStr">
        <is>
          <t>Pro France</t>
        </is>
      </c>
      <c r="C109" s="15" t="n">
        <v>2</v>
      </c>
      <c r="D109" s="15" t="inlineStr">
        <is>
          <t>Carreleur / poseur pierre</t>
        </is>
      </c>
      <c r="E109" s="15" t="inlineStr">
        <is>
          <t>EP Bati Renov</t>
        </is>
      </c>
      <c r="F109" s="15" t="inlineStr">
        <is>
          <t>Auvers-sur-Oise (95430)</t>
        </is>
      </c>
      <c r="G109" s="15" t="inlineStr">
        <is>
          <t>Île-de-France</t>
        </is>
      </c>
      <c r="H109" s="15" t="inlineStr">
        <is>
          <t>Entreprise du Val-d'Oise qui pose du dallage en pierre et construit des terrasses : elle pourrait acheter MINYALA pour ses chantiers de terrasses et d'extensions.</t>
        </is>
      </c>
      <c r="I109" s="15" t="n"/>
      <c r="J109" s="15" t="n"/>
      <c r="K109" s="20" t="inlineStr">
        <is>
          <t>Voir</t>
        </is>
      </c>
      <c r="L109" s="21" t="inlineStr">
        <is>
          <t>À contacter</t>
        </is>
      </c>
      <c r="M109" s="21" t="n"/>
      <c r="N109" s="21" t="n"/>
      <c r="O109" s="21" t="n"/>
      <c r="P109" s="15" t="inlineStr">
        <is>
          <t>3e liste (12/10)</t>
        </is>
      </c>
    </row>
    <row r="110" ht="54.75" customHeight="1" s="13">
      <c r="A110" s="15" t="n">
        <v>109</v>
      </c>
      <c r="B110" s="15" t="inlineStr">
        <is>
          <t>Pro France</t>
        </is>
      </c>
      <c r="C110" s="15" t="n">
        <v>2</v>
      </c>
      <c r="D110" s="15" t="inlineStr">
        <is>
          <t>Paysagiste</t>
        </is>
      </c>
      <c r="E110" s="15" t="inlineStr">
        <is>
          <t>Eden Vatinel &amp; Associés</t>
        </is>
      </c>
      <c r="F110" s="15" t="inlineStr">
        <is>
          <t>Montesson (78360)</t>
        </is>
      </c>
      <c r="G110" s="15" t="inlineStr">
        <is>
          <t>Île-de-France</t>
        </is>
      </c>
      <c r="H110" s="15" t="inlineStr">
        <is>
          <t>Ce paysagiste de la boucle de Seine pose déjà pierre naturelle et travertin sur terrasses et abords de piscine : MINYALA est une alternative en stock au tarif professionnel (sur devis) (usage à valider avec lui : finition, gel, glissance, humidité).</t>
        </is>
      </c>
      <c r="I110" s="20" t="inlineStr">
        <is>
          <t>edenvatinel.fr</t>
        </is>
      </c>
      <c r="J110" s="15" t="inlineStr">
        <is>
          <t>06 77 86 09 46</t>
        </is>
      </c>
      <c r="K110" s="20" t="inlineStr">
        <is>
          <t>Voir</t>
        </is>
      </c>
      <c r="L110" s="21" t="inlineStr">
        <is>
          <t>À contacter</t>
        </is>
      </c>
      <c r="M110" s="21" t="n"/>
      <c r="N110" s="21" t="n"/>
      <c r="O110" s="21" t="n"/>
      <c r="P110" s="15" t="inlineStr">
        <is>
          <t>2e liste (12/10)</t>
        </is>
      </c>
    </row>
    <row r="111" ht="41.25" customHeight="1" s="13">
      <c r="A111" s="15" t="n">
        <v>110</v>
      </c>
      <c r="B111" s="15" t="inlineStr">
        <is>
          <t>Pro France</t>
        </is>
      </c>
      <c r="C111" s="15" t="n">
        <v>2</v>
      </c>
      <c r="D111" s="15" t="inlineStr">
        <is>
          <t>Carreleur / poseur pierre</t>
        </is>
      </c>
      <c r="E111" s="15" t="inlineStr">
        <is>
          <t>Entreprise Boisseleau</t>
        </is>
      </c>
      <c r="F111" s="15" t="inlineStr">
        <is>
          <t>Saint-Germain-en-Laye (78100)</t>
        </is>
      </c>
      <c r="G111" s="15" t="inlineStr">
        <is>
          <t>Île-de-France</t>
        </is>
      </c>
      <c r="H111" s="15" t="inlineStr">
        <is>
          <t>Ce carreleur certifié Qualibat 6313 pose de la pierre naturelle en sols et terrasses pour une clientèle haut de gamme : il peut utiliser MINYALA sur ses chantiers.</t>
        </is>
      </c>
      <c r="I111" s="20" t="inlineStr">
        <is>
          <t>www.carrelage-marbre-iledefrance.fr</t>
        </is>
      </c>
      <c r="J111" s="15" t="inlineStr">
        <is>
          <t>01 34 51 01 22</t>
        </is>
      </c>
      <c r="K111" s="20" t="inlineStr">
        <is>
          <t>Voir</t>
        </is>
      </c>
      <c r="L111" s="21" t="inlineStr">
        <is>
          <t>À contacter</t>
        </is>
      </c>
      <c r="M111" s="21" t="n"/>
      <c r="N111" s="21" t="n"/>
      <c r="O111" s="21" t="n"/>
      <c r="P111" s="15" t="inlineStr">
        <is>
          <t>2e liste (12/10)</t>
        </is>
      </c>
    </row>
    <row r="112" ht="41.25" customHeight="1" s="13">
      <c r="A112" s="15" t="n">
        <v>111</v>
      </c>
      <c r="B112" s="15" t="inlineStr">
        <is>
          <t>Pro France</t>
        </is>
      </c>
      <c r="C112" s="15" t="n">
        <v>2</v>
      </c>
      <c r="D112" s="15" t="inlineStr">
        <is>
          <t>Rénovation haut de gamme</t>
        </is>
      </c>
      <c r="E112" s="15" t="inlineStr">
        <is>
          <t>Entreprise Kenny</t>
        </is>
      </c>
      <c r="F112" s="15" t="inlineStr">
        <is>
          <t>Chatou (78400)</t>
        </is>
      </c>
      <c r="G112" s="15" t="inlineStr">
        <is>
          <t>Île-de-France</t>
        </is>
      </c>
      <c r="H112" s="15" t="inlineStr">
        <is>
          <t>Cette entreprise de rénovation de Chatou pose déjà marbre, travertin et dallages en pierre pour architectes et copropriétés : elle pourrait acheter MINYALA pour ses chantiers.</t>
        </is>
      </c>
      <c r="I112" s="20" t="inlineStr">
        <is>
          <t>www.kenny-entreprise.fr</t>
        </is>
      </c>
      <c r="J112" s="15" t="inlineStr">
        <is>
          <t>01 30 53 46 50</t>
        </is>
      </c>
      <c r="K112" s="20" t="inlineStr">
        <is>
          <t>Voir</t>
        </is>
      </c>
      <c r="L112" s="21" t="inlineStr">
        <is>
          <t>À contacter</t>
        </is>
      </c>
      <c r="M112" s="21" t="n"/>
      <c r="N112" s="21" t="n"/>
      <c r="O112" s="21" t="n"/>
      <c r="P112" s="15" t="inlineStr">
        <is>
          <t>2e liste (12/10)</t>
        </is>
      </c>
    </row>
    <row r="113" ht="54.75" customHeight="1" s="13">
      <c r="A113" s="15" t="n">
        <v>112</v>
      </c>
      <c r="B113" s="15" t="inlineStr">
        <is>
          <t>Pro France</t>
        </is>
      </c>
      <c r="C113" s="15" t="n">
        <v>2</v>
      </c>
      <c r="D113" s="15" t="inlineStr">
        <is>
          <t>Carreleur / poseur pierre</t>
        </is>
      </c>
      <c r="E113" s="15" t="inlineStr">
        <is>
          <t>Entreprise Radiguet</t>
        </is>
      </c>
      <c r="F113" s="15" t="inlineStr">
        <is>
          <t>Marcq (78770)</t>
        </is>
      </c>
      <c r="G113" s="15" t="inlineStr">
        <is>
          <t>Île-de-France</t>
        </is>
      </c>
      <c r="H113" s="15" t="inlineStr">
        <is>
          <t>Ce carreleur des Yvelines pose des dallages en pierre naturelle, des terrasses et des carrelages de piscine, il pourrait acheter et poser MINYALA pour ses clients (usage à valider avec lui : finition, gel, glissance, humidité).</t>
        </is>
      </c>
      <c r="I113" s="15" t="n"/>
      <c r="J113" s="15" t="n"/>
      <c r="K113" s="20" t="inlineStr">
        <is>
          <t>Voir</t>
        </is>
      </c>
      <c r="L113" s="21" t="inlineStr">
        <is>
          <t>À contacter</t>
        </is>
      </c>
      <c r="M113" s="21" t="n"/>
      <c r="N113" s="21" t="n"/>
      <c r="O113" s="21" t="n"/>
      <c r="P113" s="15" t="inlineStr">
        <is>
          <t>2e liste (12/10)</t>
        </is>
      </c>
    </row>
    <row r="114" ht="54.75" customHeight="1" s="13">
      <c r="A114" s="15" t="n">
        <v>113</v>
      </c>
      <c r="B114" s="15" t="inlineStr">
        <is>
          <t>Pro France</t>
        </is>
      </c>
      <c r="C114" s="15" t="n">
        <v>2</v>
      </c>
      <c r="D114" s="15" t="inlineStr">
        <is>
          <t>Spa / hammam</t>
        </is>
      </c>
      <c r="E114" s="15" t="inlineStr">
        <is>
          <t>FTP Services</t>
        </is>
      </c>
      <c r="F114" s="15" t="inlineStr">
        <is>
          <t>Paris 17e (75017)</t>
        </is>
      </c>
      <c r="G114" s="15" t="inlineStr">
        <is>
          <t>Île-de-France</t>
        </is>
      </c>
      <c r="H114" s="15" t="inlineStr">
        <is>
          <t>Concepteur-installateur de hammams et saunas livrés prêts à carreler pour l'hôtellerie et le wellness, il pourrait prescrire MINYALA pour les sols et abords des espaces bien-être qu'il réalise (usage à valider avec lui : finition, gel, glissance, humidité).</t>
        </is>
      </c>
      <c r="I114" s="20" t="inlineStr">
        <is>
          <t>www.ftp-services.fr</t>
        </is>
      </c>
      <c r="J114" s="15" t="inlineStr">
        <is>
          <t>06 33 88 95 84</t>
        </is>
      </c>
      <c r="K114" s="20" t="inlineStr">
        <is>
          <t>Voir</t>
        </is>
      </c>
      <c r="L114" s="21" t="inlineStr">
        <is>
          <t>À contacter</t>
        </is>
      </c>
      <c r="M114" s="21" t="n"/>
      <c r="N114" s="21" t="n"/>
      <c r="O114" s="21" t="n"/>
      <c r="P114" s="15" t="inlineStr">
        <is>
          <t>3e liste (12/10)</t>
        </is>
      </c>
    </row>
    <row r="115" ht="41.25" customHeight="1" s="13">
      <c r="A115" s="15" t="n">
        <v>114</v>
      </c>
      <c r="B115" s="15" t="inlineStr">
        <is>
          <t>Pro France</t>
        </is>
      </c>
      <c r="C115" s="15" t="n">
        <v>2</v>
      </c>
      <c r="D115" s="15" t="inlineStr">
        <is>
          <t>Paysagiste</t>
        </is>
      </c>
      <c r="E115" s="15" t="inlineStr">
        <is>
          <t>Fontaine Paysage</t>
        </is>
      </c>
      <c r="F115" s="15" t="inlineStr">
        <is>
          <t>Franconville (95130)</t>
        </is>
      </c>
      <c r="G115" s="15" t="inlineStr">
        <is>
          <t>Île-de-France</t>
        </is>
      </c>
      <c r="H115" s="15" t="inlineStr">
        <is>
          <t>Ce paysagiste du Val-d'Oise pose déjà des terrasses en dallage de pierre naturelle jusqu'à Colombes et Asnières, donc MINYALA peut entrer dans ses devis.</t>
        </is>
      </c>
      <c r="I115" s="20" t="inlineStr">
        <is>
          <t>www.fontainepaysage.fr</t>
        </is>
      </c>
      <c r="J115" s="15" t="inlineStr">
        <is>
          <t>09 73 76 43 25</t>
        </is>
      </c>
      <c r="K115" s="20" t="inlineStr">
        <is>
          <t>Voir</t>
        </is>
      </c>
      <c r="L115" s="21" t="inlineStr">
        <is>
          <t>À contacter</t>
        </is>
      </c>
      <c r="M115" s="21" t="n"/>
      <c r="N115" s="21" t="n"/>
      <c r="O115" s="21" t="n"/>
      <c r="P115" s="15" t="inlineStr">
        <is>
          <t>2e liste (12/10)</t>
        </is>
      </c>
    </row>
    <row r="116" ht="41.25" customHeight="1" s="13">
      <c r="A116" s="15" t="n">
        <v>115</v>
      </c>
      <c r="B116" s="15" t="inlineStr">
        <is>
          <t>Pro France</t>
        </is>
      </c>
      <c r="C116" s="15" t="n">
        <v>2</v>
      </c>
      <c r="D116" s="15" t="inlineStr">
        <is>
          <t>Hôtel / restaurant</t>
        </is>
      </c>
      <c r="E116" s="15" t="inlineStr">
        <is>
          <t>Hôtel Barrière Le Grand Hôtel Enghien-les-Bains</t>
        </is>
      </c>
      <c r="F116" s="15" t="inlineStr">
        <is>
          <t>Enghien-les-Bains (95880)</t>
        </is>
      </c>
      <c r="G116" s="15" t="inlineStr">
        <is>
          <t>Île-de-France</t>
        </is>
      </c>
      <c r="H116" s="15" t="inlineStr">
        <is>
          <t>L'hôtel est fermé depuis juillet 2026 pour 21 mois de travaux et rouvrira en 2028 avec 100 chambres : les lots de sols et de terrasses de cette restructuration sont une piste pour MINYALA.</t>
        </is>
      </c>
      <c r="I116" s="20" t="inlineStr">
        <is>
          <t>www.hotelsbarriere.com/fr/enghien-les-bains/le-grand-hotel.html</t>
        </is>
      </c>
      <c r="J116" s="15" t="inlineStr">
        <is>
          <t>+33 1 73 60 01 11</t>
        </is>
      </c>
      <c r="K116" s="20" t="inlineStr">
        <is>
          <t>Voir</t>
        </is>
      </c>
      <c r="L116" s="21" t="inlineStr">
        <is>
          <t>À contacter</t>
        </is>
      </c>
      <c r="M116" s="21" t="n"/>
      <c r="N116" s="21" t="n"/>
      <c r="O116" s="21" t="n"/>
      <c r="P116" s="15" t="inlineStr">
        <is>
          <t>3e liste (12/10)</t>
        </is>
      </c>
    </row>
    <row r="117" ht="54.75" customHeight="1" s="13">
      <c r="A117" s="15" t="n">
        <v>116</v>
      </c>
      <c r="B117" s="15" t="inlineStr">
        <is>
          <t>Pro France</t>
        </is>
      </c>
      <c r="C117" s="15" t="n">
        <v>2</v>
      </c>
      <c r="D117" s="15" t="inlineStr">
        <is>
          <t>Pisciniste</t>
        </is>
      </c>
      <c r="E117" s="15" t="inlineStr">
        <is>
          <t>Idoine Piscines &amp; Spa</t>
        </is>
      </c>
      <c r="F117" s="15" t="inlineStr">
        <is>
          <t>Paris (75013)</t>
        </is>
      </c>
      <c r="G117" s="15" t="inlineStr">
        <is>
          <t>Île-de-France</t>
        </is>
      </c>
      <c r="H117" s="15" t="inlineStr">
        <is>
          <t>Ce pisciniste parisien haut de gamme, qui travaille pour des particuliers et des hôtels de luxe, peut prescrire MINYALA pour les plages et les sols de spa (usage à valider avec lui : finition, gel, glissance, humidité).</t>
        </is>
      </c>
      <c r="I117" s="20" t="inlineStr">
        <is>
          <t>www.idoine-piscines.com</t>
        </is>
      </c>
      <c r="J117" s="15" t="inlineStr">
        <is>
          <t>03 23 73 15 90</t>
        </is>
      </c>
      <c r="K117" s="20" t="inlineStr">
        <is>
          <t>Voir</t>
        </is>
      </c>
      <c r="L117" s="21" t="inlineStr">
        <is>
          <t>À contacter</t>
        </is>
      </c>
      <c r="M117" s="21" t="n"/>
      <c r="N117" s="21" t="n"/>
      <c r="O117" s="21" t="n"/>
      <c r="P117" s="15" t="inlineStr">
        <is>
          <t>2e liste (12/10)</t>
        </is>
      </c>
    </row>
    <row r="118" ht="54.75" customHeight="1" s="13">
      <c r="A118" s="15" t="n">
        <v>117</v>
      </c>
      <c r="B118" s="15" t="inlineStr">
        <is>
          <t>Pro France</t>
        </is>
      </c>
      <c r="C118" s="15" t="n">
        <v>2</v>
      </c>
      <c r="D118" s="15" t="inlineStr">
        <is>
          <t>Pisciniste</t>
        </is>
      </c>
      <c r="E118" s="15" t="inlineStr">
        <is>
          <t>Idéal Piscine</t>
        </is>
      </c>
      <c r="F118" s="15" t="inlineStr">
        <is>
          <t>Bouafle (78410)</t>
        </is>
      </c>
      <c r="G118" s="15" t="inlineStr">
        <is>
          <t>Île-de-France</t>
        </is>
      </c>
      <c r="H118" s="15" t="inlineStr">
        <is>
          <t>Constructeur de piscines béton sur mesure dans le 78 et le 92 qui réalise aussi terrasses et margelles autour des bassins, il pourrait poser MINYALA sur des plages de piscine haut de gamme (usage à valider avec lui : finition, gel, glissance, humidité).</t>
        </is>
      </c>
      <c r="I118" s="20" t="inlineStr">
        <is>
          <t>www.idealpiscine.com</t>
        </is>
      </c>
      <c r="J118" s="15" t="inlineStr">
        <is>
          <t>01 34 92 91 18</t>
        </is>
      </c>
      <c r="K118" s="20" t="inlineStr">
        <is>
          <t>Voir</t>
        </is>
      </c>
      <c r="L118" s="21" t="inlineStr">
        <is>
          <t>À contacter</t>
        </is>
      </c>
      <c r="M118" s="21" t="n"/>
      <c r="N118" s="21" t="n"/>
      <c r="O118" s="21" t="n"/>
      <c r="P118" s="15" t="inlineStr">
        <is>
          <t>2e liste (12/10)</t>
        </is>
      </c>
    </row>
    <row r="119" ht="41.25" customHeight="1" s="13">
      <c r="A119" s="15" t="n">
        <v>118</v>
      </c>
      <c r="B119" s="15" t="inlineStr">
        <is>
          <t>Pro France</t>
        </is>
      </c>
      <c r="C119" s="15" t="n">
        <v>2</v>
      </c>
      <c r="D119" s="15" t="inlineStr">
        <is>
          <t>Paysagiste</t>
        </is>
      </c>
      <c r="E119" s="15" t="inlineStr">
        <is>
          <t>Jardins et Ambiances</t>
        </is>
      </c>
      <c r="F119" s="15" t="inlineStr">
        <is>
          <t>Dourdan (91410)</t>
        </is>
      </c>
      <c r="G119" s="15" t="inlineStr">
        <is>
          <t>Île-de-France</t>
        </is>
      </c>
      <c r="H119" s="15" t="inlineStr">
        <is>
          <t>Paysagiste du sud de l'Essonne, actif jusqu'à Rambouillet, qui réalise des terrasses en pierre naturelle : MINYALA pourrait faire partie de ses choix de matériaux.</t>
        </is>
      </c>
      <c r="I119" s="20" t="inlineStr">
        <is>
          <t>www.jardins-et-ambiances.com</t>
        </is>
      </c>
      <c r="J119" s="15" t="inlineStr">
        <is>
          <t>01 64 59 68 91</t>
        </is>
      </c>
      <c r="K119" s="20" t="inlineStr">
        <is>
          <t>Voir</t>
        </is>
      </c>
      <c r="L119" s="21" t="inlineStr">
        <is>
          <t>À contacter</t>
        </is>
      </c>
      <c r="M119" s="21" t="n"/>
      <c r="N119" s="21" t="n"/>
      <c r="O119" s="21" t="n"/>
      <c r="P119" s="15" t="inlineStr">
        <is>
          <t>3e liste (12/10)</t>
        </is>
      </c>
    </row>
    <row r="120" ht="15" customHeight="1" s="13">
      <c r="A120" s="15" t="n">
        <v>119</v>
      </c>
      <c r="B120" s="15" t="inlineStr">
        <is>
          <t>Pro France</t>
        </is>
      </c>
      <c r="C120" s="15" t="n">
        <v>2</v>
      </c>
      <c r="D120" s="15" t="inlineStr">
        <is>
          <t>Paysagiste</t>
        </is>
      </c>
      <c r="E120" s="15" t="inlineStr">
        <is>
          <t>Kalozia Gardens (Entreprise Tetrasol)</t>
        </is>
      </c>
      <c r="F120" s="15" t="inlineStr">
        <is>
          <t>Rueil-Malmaison (92500)</t>
        </is>
      </c>
      <c r="G120" s="15" t="inlineStr">
        <is>
          <t>Île-de-France</t>
        </is>
      </c>
      <c r="H120" s="15" t="inlineStr">
        <is>
          <t>Création de jardins avec terrasses.</t>
        </is>
      </c>
      <c r="I120" s="15" t="n"/>
      <c r="J120" s="15" t="n"/>
      <c r="K120" s="20" t="inlineStr">
        <is>
          <t>Voir</t>
        </is>
      </c>
      <c r="L120" s="21" t="inlineStr">
        <is>
          <t>À contacter</t>
        </is>
      </c>
      <c r="M120" s="21" t="n"/>
      <c r="N120" s="21" t="n"/>
      <c r="O120" s="21" t="n"/>
      <c r="P120" s="15" t="inlineStr">
        <is>
          <t>1re liste (08/10)</t>
        </is>
      </c>
    </row>
    <row r="121" ht="54.75" customHeight="1" s="13">
      <c r="A121" s="15" t="n">
        <v>120</v>
      </c>
      <c r="B121" s="15" t="inlineStr">
        <is>
          <t>Pro France</t>
        </is>
      </c>
      <c r="C121" s="15" t="n">
        <v>2</v>
      </c>
      <c r="D121" s="15" t="inlineStr">
        <is>
          <t>Pisciniste</t>
        </is>
      </c>
      <c r="E121" s="15" t="inlineStr">
        <is>
          <t>Kristech</t>
        </is>
      </c>
      <c r="F121" s="15" t="inlineStr">
        <is>
          <t>Sèvres (92310)</t>
        </is>
      </c>
      <c r="G121" s="15" t="inlineStr">
        <is>
          <t>Île-de-France</t>
        </is>
      </c>
      <c r="H121" s="15" t="inlineStr">
        <is>
          <t>Ce constructeur de piscines béton de Sèvres propose déjà des margelles en pierre naturelle dans toute l'Île-de-France, donc MINYALA peut compléter son offre de margelles et de plages (usage à valider avec lui : finition, gel, glissance, humidité).</t>
        </is>
      </c>
      <c r="I121" s="20" t="inlineStr">
        <is>
          <t>www.kristech.fr</t>
        </is>
      </c>
      <c r="J121" s="15" t="inlineStr">
        <is>
          <t>01 87 20 65 00</t>
        </is>
      </c>
      <c r="K121" s="20" t="inlineStr">
        <is>
          <t>Voir</t>
        </is>
      </c>
      <c r="L121" s="21" t="inlineStr">
        <is>
          <t>À contacter</t>
        </is>
      </c>
      <c r="M121" s="21" t="n"/>
      <c r="N121" s="21" t="n"/>
      <c r="O121" s="21" t="n"/>
      <c r="P121" s="15" t="inlineStr">
        <is>
          <t>2e liste (12/10)</t>
        </is>
      </c>
    </row>
    <row r="122" ht="41.25" customHeight="1" s="13">
      <c r="A122" s="15" t="n">
        <v>121</v>
      </c>
      <c r="B122" s="15" t="inlineStr">
        <is>
          <t>Pro France</t>
        </is>
      </c>
      <c r="C122" s="15" t="n">
        <v>2</v>
      </c>
      <c r="D122" s="15" t="inlineStr">
        <is>
          <t>Paysagiste</t>
        </is>
      </c>
      <c r="E122" s="15" t="inlineStr">
        <is>
          <t>L'esprit au vert</t>
        </is>
      </c>
      <c r="F122" s="15" t="inlineStr">
        <is>
          <t>Puteaux (92800)</t>
        </is>
      </c>
      <c r="G122" s="15" t="inlineStr">
        <is>
          <t>Île-de-France</t>
        </is>
      </c>
      <c r="H122" s="15" t="inlineStr">
        <is>
          <t>Ce concepteur de terrasses de Puteaux, tout près de Gennevilliers, a déjà réalisé une terrasse méditerranéenne en pierre naturelle à Nanterre, un projet type pour MINYALA.</t>
        </is>
      </c>
      <c r="I122" s="20" t="inlineStr">
        <is>
          <t>l-esprit-au-vert-71b05.houzzsite.com</t>
        </is>
      </c>
      <c r="J122" s="15" t="inlineStr">
        <is>
          <t>09 54 25 52 77</t>
        </is>
      </c>
      <c r="K122" s="20" t="inlineStr">
        <is>
          <t>Voir</t>
        </is>
      </c>
      <c r="L122" s="21" t="inlineStr">
        <is>
          <t>À contacter</t>
        </is>
      </c>
      <c r="M122" s="21" t="n"/>
      <c r="N122" s="21" t="n"/>
      <c r="O122" s="21" t="n"/>
      <c r="P122" s="15" t="inlineStr">
        <is>
          <t>2e liste (12/10)</t>
        </is>
      </c>
    </row>
    <row r="123" ht="54.75" customHeight="1" s="13">
      <c r="A123" s="15" t="n">
        <v>122</v>
      </c>
      <c r="B123" s="15" t="inlineStr">
        <is>
          <t>Pro France</t>
        </is>
      </c>
      <c r="C123" s="15" t="n">
        <v>2</v>
      </c>
      <c r="D123" s="15" t="inlineStr">
        <is>
          <t>Pisciniste</t>
        </is>
      </c>
      <c r="E123" s="15" t="inlineStr">
        <is>
          <t>La Boutique de la Piscine et du Spa (concessionnaire Magiline 92/95)</t>
        </is>
      </c>
      <c r="F123" s="15" t="inlineStr">
        <is>
          <t>Rueil-Malmaison (92500)</t>
        </is>
      </c>
      <c r="G123" s="15" t="inlineStr">
        <is>
          <t>Île-de-France</t>
        </is>
      </c>
      <c r="H123" s="15" t="inlineStr">
        <is>
          <t>Ce constructeur de piscines béton, qui intervient à Colombes, Nanterre et Argenteuil, tout près de Gennevilliers, pourrait proposer MINYALA pour les plages et abords de ses bassins (usage à valider avec lui : finition, gel, glissance, humidité).</t>
        </is>
      </c>
      <c r="I123" s="20" t="inlineStr">
        <is>
          <t>www.la-boutique-piscine-spa.fr</t>
        </is>
      </c>
      <c r="J123" s="15" t="inlineStr">
        <is>
          <t>01 47 49 74 69</t>
        </is>
      </c>
      <c r="K123" s="20" t="inlineStr">
        <is>
          <t>Voir</t>
        </is>
      </c>
      <c r="L123" s="21" t="inlineStr">
        <is>
          <t>À contacter</t>
        </is>
      </c>
      <c r="M123" s="21" t="n"/>
      <c r="N123" s="21" t="n"/>
      <c r="O123" s="21" t="n"/>
      <c r="P123" s="15" t="inlineStr">
        <is>
          <t>2e liste (12/10)</t>
        </is>
      </c>
    </row>
    <row r="124" ht="41.25" customHeight="1" s="13">
      <c r="A124" s="15" t="n">
        <v>123</v>
      </c>
      <c r="B124" s="15" t="inlineStr">
        <is>
          <t>Pro France</t>
        </is>
      </c>
      <c r="C124" s="15" t="n">
        <v>2</v>
      </c>
      <c r="D124" s="15" t="inlineStr">
        <is>
          <t>Paysagiste</t>
        </is>
      </c>
      <c r="E124" s="15" t="inlineStr">
        <is>
          <t>Les Jardins de Chevreuse</t>
        </is>
      </c>
      <c r="F124" s="15" t="inlineStr">
        <is>
          <t>Clairefontaine-en-Yvelines (78120)</t>
        </is>
      </c>
      <c r="G124" s="15" t="inlineStr">
        <is>
          <t>Île-de-France</t>
        </is>
      </c>
      <c r="H124" s="15" t="inlineStr">
        <is>
          <t>Paysagiste du secteur de Rambouillet qui pose déjà des dallages en calcaire de Bourgogne et en travertin : MINYALA serait une autre option de calcaire pour ses terrasses.</t>
        </is>
      </c>
      <c r="I124" s="20" t="inlineStr">
        <is>
          <t>www.lesjardinsdechevreuse.fr</t>
        </is>
      </c>
      <c r="J124" s="15" t="inlineStr">
        <is>
          <t>01 34 84 50 77</t>
        </is>
      </c>
      <c r="K124" s="20" t="inlineStr">
        <is>
          <t>Voir</t>
        </is>
      </c>
      <c r="L124" s="21" t="inlineStr">
        <is>
          <t>À contacter</t>
        </is>
      </c>
      <c r="M124" s="21" t="n"/>
      <c r="N124" s="21" t="n"/>
      <c r="O124" s="21" t="n"/>
      <c r="P124" s="15" t="inlineStr">
        <is>
          <t>3e liste (12/10)</t>
        </is>
      </c>
    </row>
    <row r="125" ht="41.25" customHeight="1" s="13">
      <c r="A125" s="15" t="n">
        <v>124</v>
      </c>
      <c r="B125" s="15" t="inlineStr">
        <is>
          <t>Pro France</t>
        </is>
      </c>
      <c r="C125" s="15" t="n">
        <v>2</v>
      </c>
      <c r="D125" s="15" t="inlineStr">
        <is>
          <t>Paysagiste</t>
        </is>
      </c>
      <c r="E125" s="15" t="inlineStr">
        <is>
          <t>Les Jardins de Julien</t>
        </is>
      </c>
      <c r="F125" s="15" t="inlineStr">
        <is>
          <t>La Garenne-Colombes (92250)</t>
        </is>
      </c>
      <c r="G125" s="15" t="inlineStr">
        <is>
          <t>Île-de-France</t>
        </is>
      </c>
      <c r="H125" s="15" t="inlineStr">
        <is>
          <t>Ce paysagiste concepteur installé à quelques kilomètres de Gennevilliers crée des terrasses en pierre, des murets et des allées : il peut prescrire et poser MINYALA.</t>
        </is>
      </c>
      <c r="I125" s="20" t="inlineStr">
        <is>
          <t>www.jardinsdejulien.com</t>
        </is>
      </c>
      <c r="J125" s="15" t="inlineStr">
        <is>
          <t>09 85 20 70 18</t>
        </is>
      </c>
      <c r="K125" s="20" t="inlineStr">
        <is>
          <t>Voir</t>
        </is>
      </c>
      <c r="L125" s="21" t="inlineStr">
        <is>
          <t>À contacter</t>
        </is>
      </c>
      <c r="M125" s="21" t="n"/>
      <c r="N125" s="21" t="n"/>
      <c r="O125" s="21" t="n"/>
      <c r="P125" s="15" t="inlineStr">
        <is>
          <t>2e liste (12/10)</t>
        </is>
      </c>
    </row>
    <row r="126" ht="54.75" customHeight="1" s="13">
      <c r="A126" s="15" t="n">
        <v>125</v>
      </c>
      <c r="B126" s="15" t="inlineStr">
        <is>
          <t>Pro France</t>
        </is>
      </c>
      <c r="C126" s="15" t="n">
        <v>2</v>
      </c>
      <c r="D126" s="15" t="inlineStr">
        <is>
          <t>Paysagiste</t>
        </is>
      </c>
      <c r="E126" s="15" t="inlineStr">
        <is>
          <t>Les Jardins de la Vallée</t>
        </is>
      </c>
      <c r="F126" s="15" t="inlineStr">
        <is>
          <t>Magny-les-Hameaux (78114)</t>
        </is>
      </c>
      <c r="G126" s="15" t="inlineStr">
        <is>
          <t>Île-de-France</t>
        </is>
      </c>
      <c r="H126" s="15" t="inlineStr">
        <is>
          <t>Ce paysagiste-pisciniste des Yvelines pose déjà des terrasses en travertin calcaire : MINYALA est une alternative directe pour ses terrasses et abords de piscine (usage à valider avec lui : finition, gel, glissance, humidité).</t>
        </is>
      </c>
      <c r="I126" s="20" t="inlineStr">
        <is>
          <t>www.jardinsdelavallee.fr</t>
        </is>
      </c>
      <c r="J126" s="15" t="inlineStr">
        <is>
          <t>01 30 57 07 07</t>
        </is>
      </c>
      <c r="K126" s="20" t="inlineStr">
        <is>
          <t>Voir</t>
        </is>
      </c>
      <c r="L126" s="21" t="inlineStr">
        <is>
          <t>À contacter</t>
        </is>
      </c>
      <c r="M126" s="21" t="n"/>
      <c r="N126" s="21" t="n"/>
      <c r="O126" s="21" t="n"/>
      <c r="P126" s="15" t="inlineStr">
        <is>
          <t>2e liste (12/10)</t>
        </is>
      </c>
    </row>
    <row r="127" ht="15" customHeight="1" s="13">
      <c r="A127" s="15" t="n">
        <v>126</v>
      </c>
      <c r="B127" s="15" t="inlineStr">
        <is>
          <t>Pro France</t>
        </is>
      </c>
      <c r="C127" s="15" t="n">
        <v>2</v>
      </c>
      <c r="D127" s="15" t="inlineStr">
        <is>
          <t>Paysagiste</t>
        </is>
      </c>
      <c r="E127" s="15" t="inlineStr">
        <is>
          <t>Les Jardins du Roy</t>
        </is>
      </c>
      <c r="F127" s="15" t="inlineStr">
        <is>
          <t>Suresnes (92150)</t>
        </is>
      </c>
      <c r="G127" s="15" t="inlineStr">
        <is>
          <t>Île-de-France</t>
        </is>
      </c>
      <c r="H127" s="15" t="inlineStr">
        <is>
          <t>Paysage et maçonnerie.</t>
        </is>
      </c>
      <c r="I127" s="15" t="n"/>
      <c r="J127" s="15" t="n"/>
      <c r="K127" s="20" t="inlineStr">
        <is>
          <t>Voir</t>
        </is>
      </c>
      <c r="L127" s="21" t="inlineStr">
        <is>
          <t>À contacter</t>
        </is>
      </c>
      <c r="M127" s="21" t="n"/>
      <c r="N127" s="21" t="n"/>
      <c r="O127" s="21" t="n"/>
      <c r="P127" s="15" t="inlineStr">
        <is>
          <t>1re liste (08/10)</t>
        </is>
      </c>
    </row>
    <row r="128" ht="41.25" customHeight="1" s="13">
      <c r="A128" s="15" t="n">
        <v>127</v>
      </c>
      <c r="B128" s="15" t="inlineStr">
        <is>
          <t>Pro France</t>
        </is>
      </c>
      <c r="C128" s="15" t="n">
        <v>2</v>
      </c>
      <c r="D128" s="15" t="inlineStr">
        <is>
          <t>Marbrerie</t>
        </is>
      </c>
      <c r="E128" s="15" t="inlineStr">
        <is>
          <t>MPG - Marbre Pierre Granit</t>
        </is>
      </c>
      <c r="F128" s="15" t="inlineStr">
        <is>
          <t>La Queue-en-Brie (94510)</t>
        </is>
      </c>
      <c r="G128" s="15" t="inlineStr">
        <is>
          <t>Île-de-France</t>
        </is>
      </c>
      <c r="H128" s="15" t="inlineStr">
        <is>
          <t>Cette marbrerie réalise déjà des dallages en calcaire pour des hôtels et bureaux parisiens, elle pourrait utiliser MINYALA comme calcaire disponible en stock sur ses chantiers.</t>
        </is>
      </c>
      <c r="I128" s="20" t="inlineStr">
        <is>
          <t>www.marbreriempg.paris</t>
        </is>
      </c>
      <c r="J128" s="15" t="inlineStr">
        <is>
          <t>01 45 76 15 70</t>
        </is>
      </c>
      <c r="K128" s="20" t="inlineStr">
        <is>
          <t>Voir</t>
        </is>
      </c>
      <c r="L128" s="21" t="inlineStr">
        <is>
          <t>À contacter</t>
        </is>
      </c>
      <c r="M128" s="21" t="n"/>
      <c r="N128" s="21" t="n"/>
      <c r="O128" s="21" t="n"/>
      <c r="P128" s="15" t="inlineStr">
        <is>
          <t>2e liste (12/10)</t>
        </is>
      </c>
    </row>
    <row r="129" ht="41.25" customHeight="1" s="13">
      <c r="A129" s="15" t="n">
        <v>128</v>
      </c>
      <c r="B129" s="15" t="inlineStr">
        <is>
          <t>Pro France</t>
        </is>
      </c>
      <c r="C129" s="15" t="n">
        <v>2</v>
      </c>
      <c r="D129" s="15" t="inlineStr">
        <is>
          <t>Rénovation haut de gamme</t>
        </is>
      </c>
      <c r="E129" s="15" t="inlineStr">
        <is>
          <t>Maison Laborde</t>
        </is>
      </c>
      <c r="F129" s="15" t="inlineStr">
        <is>
          <t>Malakoff (92240)</t>
        </is>
      </c>
      <c r="G129" s="15" t="inlineStr">
        <is>
          <t>Île-de-France</t>
        </is>
      </c>
      <c r="H129" s="15" t="inlineStr">
        <is>
          <t>Entreprise de rénovation haut de gamme des Hauts-de-Seine qui rénove cuisines et salles de bains et réalise des extensions, elle pourrait proposer MINYALA à ses clients pour les sols de ces pièces.</t>
        </is>
      </c>
      <c r="I129" s="20" t="inlineStr">
        <is>
          <t>www.maison-laborde.fr</t>
        </is>
      </c>
      <c r="J129" s="15" t="inlineStr">
        <is>
          <t>06 13 18 73 67</t>
        </is>
      </c>
      <c r="K129" s="20" t="inlineStr">
        <is>
          <t>Voir</t>
        </is>
      </c>
      <c r="L129" s="21" t="inlineStr">
        <is>
          <t>À contacter</t>
        </is>
      </c>
      <c r="M129" s="21" t="n"/>
      <c r="N129" s="21" t="n"/>
      <c r="O129" s="21" t="n"/>
      <c r="P129" s="15" t="inlineStr">
        <is>
          <t>3e liste (12/10)</t>
        </is>
      </c>
    </row>
    <row r="130" ht="68.25" customHeight="1" s="13">
      <c r="A130" s="15" t="n">
        <v>129</v>
      </c>
      <c r="B130" s="15" t="inlineStr">
        <is>
          <t>Pro France</t>
        </is>
      </c>
      <c r="C130" s="15" t="n">
        <v>2</v>
      </c>
      <c r="D130" s="15" t="inlineStr">
        <is>
          <t>Constructeur de maisons</t>
        </is>
      </c>
      <c r="E130" s="15" t="inlineStr">
        <is>
          <t>Maisons ArchiDesign</t>
        </is>
      </c>
      <c r="F130" s="15" t="inlineStr">
        <is>
          <t>Chevreuse (78460)</t>
        </is>
      </c>
      <c r="G130" s="15" t="inlineStr">
        <is>
          <t>Île-de-France</t>
        </is>
      </c>
      <c r="H130" s="15" t="inlineStr">
        <is>
          <t>Constructeur de maisons 100 % sur mesure présent dans toute l'Île-de-France, qui réalise maisons avec piscine et terrasse et propose le carrelage parmi ses finitions, il pourrait proposer MINYALA pour les sols intérieurs et les terrasses (usage à valider avec lui : finition, gel, glissance, humidité).</t>
        </is>
      </c>
      <c r="I130" s="20" t="inlineStr">
        <is>
          <t>www.maisonsarchidesign.com</t>
        </is>
      </c>
      <c r="J130" s="15" t="inlineStr">
        <is>
          <t>01 88 31 66 06</t>
        </is>
      </c>
      <c r="K130" s="20" t="inlineStr">
        <is>
          <t>Voir</t>
        </is>
      </c>
      <c r="L130" s="21" t="inlineStr">
        <is>
          <t>À contacter</t>
        </is>
      </c>
      <c r="M130" s="21" t="n"/>
      <c r="N130" s="21" t="n"/>
      <c r="O130" s="21" t="n"/>
      <c r="P130" s="15" t="inlineStr">
        <is>
          <t>3e liste (12/10)</t>
        </is>
      </c>
    </row>
    <row r="131" ht="27.75" customHeight="1" s="13">
      <c r="A131" s="15" t="n">
        <v>130</v>
      </c>
      <c r="B131" s="15" t="inlineStr">
        <is>
          <t>Pro France</t>
        </is>
      </c>
      <c r="C131" s="15" t="n">
        <v>2</v>
      </c>
      <c r="D131" s="15" t="inlineStr">
        <is>
          <t>Marbrerie</t>
        </is>
      </c>
      <c r="E131" s="15" t="inlineStr">
        <is>
          <t>Marbrerie Peixeiro</t>
        </is>
      </c>
      <c r="F131" s="15" t="inlineStr">
        <is>
          <t>Clichy (92110)</t>
        </is>
      </c>
      <c r="G131" s="15" t="inlineStr">
        <is>
          <t>Île-de-France</t>
        </is>
      </c>
      <c r="H131" s="15" t="inlineStr">
        <is>
          <t>Pose et rénovation en marbre, toute l'Île-de-France. À 10 min de Gennevilliers.</t>
        </is>
      </c>
      <c r="I131" s="15" t="n"/>
      <c r="J131" s="15" t="n"/>
      <c r="K131" s="20" t="inlineStr">
        <is>
          <t>Voir</t>
        </is>
      </c>
      <c r="L131" s="21" t="inlineStr">
        <is>
          <t>À contacter</t>
        </is>
      </c>
      <c r="M131" s="21" t="n"/>
      <c r="N131" s="21" t="n"/>
      <c r="O131" s="21" t="n"/>
      <c r="P131" s="15" t="inlineStr">
        <is>
          <t>1re liste (08/10)</t>
        </is>
      </c>
    </row>
    <row r="132" ht="41.25" customHeight="1" s="13">
      <c r="A132" s="15" t="n">
        <v>131</v>
      </c>
      <c r="B132" s="15" t="inlineStr">
        <is>
          <t>Pro France</t>
        </is>
      </c>
      <c r="C132" s="15" t="n">
        <v>2</v>
      </c>
      <c r="D132" s="15" t="inlineStr">
        <is>
          <t>Marbrerie</t>
        </is>
      </c>
      <c r="E132" s="15" t="inlineStr">
        <is>
          <t>Marbrerie de l'Emperador</t>
        </is>
      </c>
      <c r="F132" s="15" t="inlineStr">
        <is>
          <t>Vitry-sur-Seine (94400)</t>
        </is>
      </c>
      <c r="G132" s="15" t="inlineStr">
        <is>
          <t>Île-de-France</t>
        </is>
      </c>
      <c r="H132" s="15" t="inlineStr">
        <is>
          <t>Marbrerie avec showroom qui vend des pierres naturelles et réalise des salles de bains : elle pourrait proposer MINYALA à ses clients pour les sols.</t>
        </is>
      </c>
      <c r="I132" s="15" t="n"/>
      <c r="J132" s="15" t="n"/>
      <c r="K132" s="20" t="inlineStr">
        <is>
          <t>Voir</t>
        </is>
      </c>
      <c r="L132" s="21" t="inlineStr">
        <is>
          <t>À contacter</t>
        </is>
      </c>
      <c r="M132" s="21" t="n"/>
      <c r="N132" s="21" t="n"/>
      <c r="O132" s="21" t="n"/>
      <c r="P132" s="15" t="inlineStr">
        <is>
          <t>3e liste (12/10)</t>
        </is>
      </c>
    </row>
    <row r="133" ht="41.25" customHeight="1" s="13">
      <c r="A133" s="15" t="n">
        <v>132</v>
      </c>
      <c r="B133" s="15" t="inlineStr">
        <is>
          <t>Pro France</t>
        </is>
      </c>
      <c r="C133" s="15" t="n">
        <v>2</v>
      </c>
      <c r="D133" s="15" t="inlineStr">
        <is>
          <t>Rénovation haut de gamme</t>
        </is>
      </c>
      <c r="E133" s="15" t="inlineStr">
        <is>
          <t>Modern Works</t>
        </is>
      </c>
      <c r="F133" s="15" t="inlineStr">
        <is>
          <t>Paris</t>
        </is>
      </c>
      <c r="G133" s="15" t="inlineStr">
        <is>
          <t>Île-de-France</t>
        </is>
      </c>
      <c r="H133" s="15" t="inlineStr">
        <is>
          <t>Cette entreprise de rénovation tous corps d'état pose de la pierre naturelle dans des rénovations haut de gamme à Paris : elle pourrait utiliser MINYALA pour ses sols.</t>
        </is>
      </c>
      <c r="I133" s="20" t="inlineStr">
        <is>
          <t>modernworks.fr</t>
        </is>
      </c>
      <c r="J133" s="15" t="inlineStr">
        <is>
          <t>06 09 71 65 91</t>
        </is>
      </c>
      <c r="K133" s="20" t="inlineStr">
        <is>
          <t>Voir</t>
        </is>
      </c>
      <c r="L133" s="21" t="inlineStr">
        <is>
          <t>À contacter</t>
        </is>
      </c>
      <c r="M133" s="21" t="n"/>
      <c r="N133" s="21" t="n"/>
      <c r="O133" s="21" t="n"/>
      <c r="P133" s="15" t="inlineStr">
        <is>
          <t>2e liste (12/10)</t>
        </is>
      </c>
    </row>
    <row r="134" ht="41.25" customHeight="1" s="13">
      <c r="A134" s="15" t="n">
        <v>133</v>
      </c>
      <c r="B134" s="15" t="inlineStr">
        <is>
          <t>Pro France</t>
        </is>
      </c>
      <c r="C134" s="15" t="n">
        <v>2</v>
      </c>
      <c r="D134" s="15" t="inlineStr">
        <is>
          <t>Paysagiste</t>
        </is>
      </c>
      <c r="E134" s="15" t="inlineStr">
        <is>
          <t>Pensée au Jardin</t>
        </is>
      </c>
      <c r="F134" s="15" t="inlineStr">
        <is>
          <t>Saint-Germain-en-Laye (78100)</t>
        </is>
      </c>
      <c r="G134" s="15" t="inlineStr">
        <is>
          <t>Île-de-France</t>
        </is>
      </c>
      <c r="H134" s="15" t="inlineStr">
        <is>
          <t>Ce paysagiste de Saint-Germain-en-Laye fait du dallage, du pavage et de la maçonnerie paysagère, il pourrait utiliser MINYALA pour les terrasses et allées de ses clients.</t>
        </is>
      </c>
      <c r="I134" s="20" t="inlineStr">
        <is>
          <t>www.penseeaujardin.fr</t>
        </is>
      </c>
      <c r="J134" s="15" t="inlineStr">
        <is>
          <t>01 70 93 96 93</t>
        </is>
      </c>
      <c r="K134" s="20" t="inlineStr">
        <is>
          <t>Voir</t>
        </is>
      </c>
      <c r="L134" s="21" t="inlineStr">
        <is>
          <t>À contacter</t>
        </is>
      </c>
      <c r="M134" s="21" t="n"/>
      <c r="N134" s="21" t="n"/>
      <c r="O134" s="21" t="n"/>
      <c r="P134" s="15" t="inlineStr">
        <is>
          <t>2e liste (12/10)</t>
        </is>
      </c>
    </row>
    <row r="135" ht="41.25" customHeight="1" s="13">
      <c r="A135" s="15" t="n">
        <v>134</v>
      </c>
      <c r="B135" s="15" t="inlineStr">
        <is>
          <t>Pro France</t>
        </is>
      </c>
      <c r="C135" s="15" t="n">
        <v>2</v>
      </c>
      <c r="D135" s="15" t="inlineStr">
        <is>
          <t>Pisciniste</t>
        </is>
      </c>
      <c r="E135" s="15" t="inlineStr">
        <is>
          <t>Piscines du Vexin</t>
        </is>
      </c>
      <c r="F135" s="15" t="inlineStr">
        <is>
          <t>Saint-Ouen-l'Aumône (95310)</t>
        </is>
      </c>
      <c r="G135" s="15" t="inlineStr">
        <is>
          <t>Île-de-France</t>
        </is>
      </c>
      <c r="H135" s="15" t="inlineStr">
        <is>
          <t>Ce pisciniste du Val-d'Oise réalise déjà des terrasses et plages en travertin et pierre naturelle : MINYALA peut entrer dans ses devis de dallage (usage à valider avec lui : finition, gel, glissance, humidité).</t>
        </is>
      </c>
      <c r="I135" s="20" t="inlineStr">
        <is>
          <t>www.piscines-spas-iledefrance.fr</t>
        </is>
      </c>
      <c r="J135" s="15" t="inlineStr">
        <is>
          <t>01 34 46 09 17</t>
        </is>
      </c>
      <c r="K135" s="20" t="inlineStr">
        <is>
          <t>Voir</t>
        </is>
      </c>
      <c r="L135" s="21" t="inlineStr">
        <is>
          <t>À contacter</t>
        </is>
      </c>
      <c r="M135" s="21" t="n"/>
      <c r="N135" s="21" t="n"/>
      <c r="O135" s="21" t="n"/>
      <c r="P135" s="15" t="inlineStr">
        <is>
          <t>2e liste (12/10)</t>
        </is>
      </c>
    </row>
    <row r="136" ht="41.25" customHeight="1" s="13">
      <c r="A136" s="15" t="n">
        <v>135</v>
      </c>
      <c r="B136" s="15" t="inlineStr">
        <is>
          <t>Pro France</t>
        </is>
      </c>
      <c r="C136" s="15" t="n">
        <v>2</v>
      </c>
      <c r="D136" s="15" t="inlineStr">
        <is>
          <t>Marbrerie</t>
        </is>
      </c>
      <c r="E136" s="15" t="inlineStr">
        <is>
          <t>Planstone</t>
        </is>
      </c>
      <c r="F136" s="15" t="inlineStr">
        <is>
          <t>Neuilly-sur-Seine (92200)</t>
        </is>
      </c>
      <c r="G136" s="15" t="inlineStr">
        <is>
          <t>Île-de-France</t>
        </is>
      </c>
      <c r="H136" s="15" t="inlineStr">
        <is>
          <t>Ce spécialiste de la pierre naturelle avec showroom à Neuilly réalise aussi sols et terrasses pour une clientèle haut de gamme, il pourrait proposer MINYALA à ses clients.</t>
        </is>
      </c>
      <c r="I136" s="20" t="inlineStr">
        <is>
          <t>planstone.fr</t>
        </is>
      </c>
      <c r="J136" s="15" t="inlineStr">
        <is>
          <t>01 40 80 06 00</t>
        </is>
      </c>
      <c r="K136" s="20" t="inlineStr">
        <is>
          <t>Voir</t>
        </is>
      </c>
      <c r="L136" s="21" t="inlineStr">
        <is>
          <t>À contacter</t>
        </is>
      </c>
      <c r="M136" s="21" t="n"/>
      <c r="N136" s="21" t="n"/>
      <c r="O136" s="21" t="n"/>
      <c r="P136" s="15" t="inlineStr">
        <is>
          <t>2e liste (12/10)</t>
        </is>
      </c>
    </row>
    <row r="137" ht="41.25" customHeight="1" s="13">
      <c r="A137" s="15" t="n">
        <v>136</v>
      </c>
      <c r="B137" s="15" t="inlineStr">
        <is>
          <t>Pro France</t>
        </is>
      </c>
      <c r="C137" s="15" t="n">
        <v>2</v>
      </c>
      <c r="D137" s="15" t="inlineStr">
        <is>
          <t>Marbrerie</t>
        </is>
      </c>
      <c r="E137" s="15" t="inlineStr">
        <is>
          <t>SFM Cochois (Société Française de Marbrerie)</t>
        </is>
      </c>
      <c r="F137" s="15" t="inlineStr">
        <is>
          <t>Ballainvilliers (91160)</t>
        </is>
      </c>
      <c r="G137" s="15" t="inlineStr">
        <is>
          <t>Île-de-France</t>
        </is>
      </c>
      <c r="H137" s="15" t="inlineStr">
        <is>
          <t>Marbrerie qui travaille toutes les roches naturelles pour architectes, décorateurs et particuliers et dispose de ses propres poseurs, elle pourrait prescrire et poser MINYALA en sols et salles de bains.</t>
        </is>
      </c>
      <c r="I137" s="20" t="inlineStr">
        <is>
          <t>www.marbrerie.com</t>
        </is>
      </c>
      <c r="J137" s="15" t="inlineStr">
        <is>
          <t>01 88 28 76 67</t>
        </is>
      </c>
      <c r="K137" s="20" t="inlineStr">
        <is>
          <t>Voir</t>
        </is>
      </c>
      <c r="L137" s="21" t="inlineStr">
        <is>
          <t>À contacter</t>
        </is>
      </c>
      <c r="M137" s="21" t="n"/>
      <c r="N137" s="21" t="n"/>
      <c r="O137" s="21" t="n"/>
      <c r="P137" s="15" t="inlineStr">
        <is>
          <t>3e liste (12/10)</t>
        </is>
      </c>
    </row>
    <row r="138" ht="41.25" customHeight="1" s="13">
      <c r="A138" s="15" t="n">
        <v>137</v>
      </c>
      <c r="B138" s="15" t="inlineStr">
        <is>
          <t>Pro France</t>
        </is>
      </c>
      <c r="C138" s="15" t="n">
        <v>2</v>
      </c>
      <c r="D138" s="15" t="inlineStr">
        <is>
          <t>Carreleur / poseur pierre</t>
        </is>
      </c>
      <c r="E138" s="15" t="inlineStr">
        <is>
          <t>Sica Marbre</t>
        </is>
      </c>
      <c r="F138" s="15" t="inlineStr">
        <is>
          <t>Noisy-le-Grand (93160)</t>
        </is>
      </c>
      <c r="G138" s="15" t="inlineStr">
        <is>
          <t>Île-de-France</t>
        </is>
      </c>
      <c r="H138" s="15" t="inlineStr">
        <is>
          <t>Poseur de dallages et de pierres naturelles en Seine-Saint-Denis : MINYALA pourrait lui fournir un calcaire en stock à Gennevilliers pour ses chantiers de sols.</t>
        </is>
      </c>
      <c r="I138" s="15" t="n"/>
      <c r="J138" s="15" t="n"/>
      <c r="K138" s="20" t="inlineStr">
        <is>
          <t>Voir</t>
        </is>
      </c>
      <c r="L138" s="21" t="inlineStr">
        <is>
          <t>À contacter</t>
        </is>
      </c>
      <c r="M138" s="21" t="n"/>
      <c r="N138" s="21" t="n"/>
      <c r="O138" s="21" t="n"/>
      <c r="P138" s="15" t="inlineStr">
        <is>
          <t>3e liste (12/10)</t>
        </is>
      </c>
    </row>
    <row r="139" ht="41.25" customHeight="1" s="13">
      <c r="A139" s="15" t="n">
        <v>138</v>
      </c>
      <c r="B139" s="15" t="inlineStr">
        <is>
          <t>Pro France</t>
        </is>
      </c>
      <c r="C139" s="15" t="n">
        <v>2</v>
      </c>
      <c r="D139" s="15" t="inlineStr">
        <is>
          <t>Pisciniste</t>
        </is>
      </c>
      <c r="E139" s="15" t="inlineStr">
        <is>
          <t>Socorebat</t>
        </is>
      </c>
      <c r="F139" s="15" t="inlineStr">
        <is>
          <t>Cergy (95000)</t>
        </is>
      </c>
      <c r="G139" s="15" t="inlineStr">
        <is>
          <t>Île-de-France</t>
        </is>
      </c>
      <c r="H139" s="15" t="inlineStr">
        <is>
          <t>Ce constructeur de piscines béton du Val-d'Oise pose déjà des margelles en pierre, des dallages et des pourtours de piscine, MINYALA peut y être proposé selon finition et pose.</t>
        </is>
      </c>
      <c r="I139" s="20" t="inlineStr">
        <is>
          <t>www.socorebat-95.fr</t>
        </is>
      </c>
      <c r="J139" s="15" t="inlineStr">
        <is>
          <t>09 72 12 39 99</t>
        </is>
      </c>
      <c r="K139" s="20" t="inlineStr">
        <is>
          <t>Voir</t>
        </is>
      </c>
      <c r="L139" s="21" t="inlineStr">
        <is>
          <t>À contacter</t>
        </is>
      </c>
      <c r="M139" s="21" t="n"/>
      <c r="N139" s="21" t="n"/>
      <c r="O139" s="21" t="n"/>
      <c r="P139" s="15" t="inlineStr">
        <is>
          <t>2e liste (12/10)</t>
        </is>
      </c>
    </row>
    <row r="140" ht="41.25" customHeight="1" s="13">
      <c r="A140" s="15" t="n">
        <v>139</v>
      </c>
      <c r="B140" s="15" t="inlineStr">
        <is>
          <t>Pro France</t>
        </is>
      </c>
      <c r="C140" s="15" t="n">
        <v>2</v>
      </c>
      <c r="D140" s="15" t="inlineStr">
        <is>
          <t>Showroom carrelage</t>
        </is>
      </c>
      <c r="E140" s="15" t="inlineStr">
        <is>
          <t>Sté Ouest Carrelage</t>
        </is>
      </c>
      <c r="F140" s="15" t="inlineStr">
        <is>
          <t>Meulan-en-Yvelines (78250)</t>
        </is>
      </c>
      <c r="G140" s="15" t="inlineStr">
        <is>
          <t>Île-de-France</t>
        </is>
      </c>
      <c r="H140" s="15" t="inlineStr">
        <is>
          <t>Revendeur de carrelage multimarque des Yvelines, qui vend aussi des tomettes en terre cuite : il pourrait ajouter une pierre naturelle en stock comme MINYALA.</t>
        </is>
      </c>
      <c r="I140" s="15" t="n"/>
      <c r="J140" s="15" t="n"/>
      <c r="K140" s="20" t="inlineStr">
        <is>
          <t>Voir</t>
        </is>
      </c>
      <c r="L140" s="21" t="inlineStr">
        <is>
          <t>À contacter</t>
        </is>
      </c>
      <c r="M140" s="21" t="n"/>
      <c r="N140" s="21" t="n"/>
      <c r="O140" s="21" t="n"/>
      <c r="P140" s="15" t="inlineStr">
        <is>
          <t>3e liste (12/10)</t>
        </is>
      </c>
    </row>
    <row r="141" ht="41.25" customHeight="1" s="13">
      <c r="A141" s="15" t="n">
        <v>140</v>
      </c>
      <c r="B141" s="15" t="inlineStr">
        <is>
          <t>Pro France</t>
        </is>
      </c>
      <c r="C141" s="15" t="n">
        <v>2</v>
      </c>
      <c r="D141" s="15" t="inlineStr">
        <is>
          <t>Paysagiste</t>
        </is>
      </c>
      <c r="E141" s="15" t="inlineStr">
        <is>
          <t>Terrasse et Jardin de Paris</t>
        </is>
      </c>
      <c r="F141" s="15" t="inlineStr">
        <is>
          <t>Paris (75016)</t>
        </is>
      </c>
      <c r="G141" s="15" t="inlineStr">
        <is>
          <t>Île-de-France</t>
        </is>
      </c>
      <c r="H141" s="15" t="inlineStr">
        <is>
          <t>Ce paysagiste parisien avec showroom dans le 16e réalise les sols de terrasses et rooftops d'hôtels et de restaurants, il pourrait y proposer MINYALA (pose sur plots déconseillée en 2 cm sans avis technique).</t>
        </is>
      </c>
      <c r="I141" s="20" t="inlineStr">
        <is>
          <t>terrasseetjardindeparis.com</t>
        </is>
      </c>
      <c r="J141" s="15" t="inlineStr">
        <is>
          <t>01 49 65 06 50</t>
        </is>
      </c>
      <c r="K141" s="20" t="inlineStr">
        <is>
          <t>Voir</t>
        </is>
      </c>
      <c r="L141" s="21" t="inlineStr">
        <is>
          <t>À contacter</t>
        </is>
      </c>
      <c r="M141" s="21" t="n"/>
      <c r="N141" s="21" t="n"/>
      <c r="O141" s="21" t="n"/>
      <c r="P141" s="15" t="inlineStr">
        <is>
          <t>2e liste (12/10)</t>
        </is>
      </c>
    </row>
    <row r="142" ht="41.25" customHeight="1" s="13">
      <c r="A142" s="15" t="n">
        <v>141</v>
      </c>
      <c r="B142" s="15" t="inlineStr">
        <is>
          <t>Pro France</t>
        </is>
      </c>
      <c r="C142" s="15" t="n">
        <v>2</v>
      </c>
      <c r="D142" s="15" t="inlineStr">
        <is>
          <t>Showroom carrelage</t>
        </is>
      </c>
      <c r="E142" s="15" t="inlineStr">
        <is>
          <t>Triomphe Carrelages et Salles de Bains</t>
        </is>
      </c>
      <c r="F142" s="15" t="inlineStr">
        <is>
          <t>Nanterre (92000)</t>
        </is>
      </c>
      <c r="G142" s="15" t="inlineStr">
        <is>
          <t>Île-de-France</t>
        </is>
      </c>
      <c r="H142" s="15" t="inlineStr">
        <is>
          <t>Ce showroom de 600 m² à Nanterre, tout près de Gennevilliers, vend du carrelage intérieur et extérieur et du dallage en pierre, il pourrait exposer et revendre MINYALA.</t>
        </is>
      </c>
      <c r="I142" s="20" t="inlineStr">
        <is>
          <t>www.triomphe-home.fr</t>
        </is>
      </c>
      <c r="J142" s="15" t="inlineStr">
        <is>
          <t>01 47 73 92 82</t>
        </is>
      </c>
      <c r="K142" s="20" t="inlineStr">
        <is>
          <t>Voir</t>
        </is>
      </c>
      <c r="L142" s="21" t="inlineStr">
        <is>
          <t>À contacter</t>
        </is>
      </c>
      <c r="M142" s="21" t="n"/>
      <c r="N142" s="21" t="n"/>
      <c r="O142" s="21" t="n"/>
      <c r="P142" s="15" t="inlineStr">
        <is>
          <t>2e liste (12/10)</t>
        </is>
      </c>
    </row>
    <row r="143" ht="27.75" customHeight="1" s="13">
      <c r="A143" s="15" t="n">
        <v>142</v>
      </c>
      <c r="B143" s="15" t="inlineStr">
        <is>
          <t>Pro France</t>
        </is>
      </c>
      <c r="C143" s="15" t="n">
        <v>2</v>
      </c>
      <c r="D143" s="15" t="inlineStr">
        <is>
          <t>Paysagiste</t>
        </is>
      </c>
      <c r="E143" s="15" t="inlineStr">
        <is>
          <t>Veduta Paysages d'Exception</t>
        </is>
      </c>
      <c r="F143" s="15" t="inlineStr">
        <is>
          <t>Saint-Cloud (92210)</t>
        </is>
      </c>
      <c r="G143" s="15" t="inlineStr">
        <is>
          <t>Île-de-France</t>
        </is>
      </c>
      <c r="H143" s="15" t="inlineStr">
        <is>
          <t>Aménagement de terrasses et dallage de jardin. Clientèle haut de gamme.</t>
        </is>
      </c>
      <c r="I143" s="15" t="n"/>
      <c r="J143" s="15" t="n"/>
      <c r="K143" s="20" t="inlineStr">
        <is>
          <t>Voir</t>
        </is>
      </c>
      <c r="L143" s="21" t="inlineStr">
        <is>
          <t>À contacter</t>
        </is>
      </c>
      <c r="M143" s="21" t="n"/>
      <c r="N143" s="21" t="n"/>
      <c r="O143" s="21" t="n"/>
      <c r="P143" s="15" t="inlineStr">
        <is>
          <t>1re liste (08/10)</t>
        </is>
      </c>
    </row>
    <row r="144" ht="27.75" customHeight="1" s="13">
      <c r="A144" s="15" t="n">
        <v>143</v>
      </c>
      <c r="B144" s="15" t="inlineStr">
        <is>
          <t>Pro France</t>
        </is>
      </c>
      <c r="C144" s="15" t="n">
        <v>2</v>
      </c>
      <c r="D144" s="15" t="inlineStr">
        <is>
          <t>Paysagiste</t>
        </is>
      </c>
      <c r="E144" s="15" t="inlineStr">
        <is>
          <t>Vert Horizon</t>
        </is>
      </c>
      <c r="F144" s="15" t="inlineStr">
        <is>
          <t>La Garenne-Colombes (92250)</t>
        </is>
      </c>
      <c r="G144" s="15" t="inlineStr">
        <is>
          <t>Île-de-France</t>
        </is>
      </c>
      <c r="H144" s="15" t="inlineStr">
        <is>
          <t>Aménagement de terrasses. Proche de Gennevilliers.</t>
        </is>
      </c>
      <c r="I144" s="15" t="n"/>
      <c r="J144" s="15" t="n"/>
      <c r="K144" s="20" t="inlineStr">
        <is>
          <t>Voir</t>
        </is>
      </c>
      <c r="L144" s="21" t="inlineStr">
        <is>
          <t>À contacter</t>
        </is>
      </c>
      <c r="M144" s="21" t="n"/>
      <c r="N144" s="21" t="n"/>
      <c r="O144" s="21" t="n"/>
      <c r="P144" s="15" t="inlineStr">
        <is>
          <t>1re liste (08/10)</t>
        </is>
      </c>
    </row>
    <row r="145" ht="41.25" customHeight="1" s="13">
      <c r="A145" s="15" t="n">
        <v>144</v>
      </c>
      <c r="B145" s="15" t="inlineStr">
        <is>
          <t>Pro France</t>
        </is>
      </c>
      <c r="C145" s="15" t="n">
        <v>2</v>
      </c>
      <c r="D145" s="15" t="inlineStr">
        <is>
          <t>Rénovation haut de gamme</t>
        </is>
      </c>
      <c r="E145" s="15" t="inlineStr">
        <is>
          <t>Wild Rénovation</t>
        </is>
      </c>
      <c r="F145" s="15" t="inlineStr">
        <is>
          <t>Paris (75008)</t>
        </is>
      </c>
      <c r="G145" s="15" t="inlineStr">
        <is>
          <t>Île-de-France</t>
        </is>
      </c>
      <c r="H145" s="15" t="inlineStr">
        <is>
          <t>Ce contractant général en rénovation de luxe choisit et pose lui-même des pierres naturelles calcaires dans des intérieurs parisiens, et peut prescrire MINYALA.</t>
        </is>
      </c>
      <c r="I145" s="20" t="inlineStr">
        <is>
          <t>www.wildrenovation.fr</t>
        </is>
      </c>
      <c r="J145" s="15" t="inlineStr">
        <is>
          <t>01 42 65 03 96</t>
        </is>
      </c>
      <c r="K145" s="20" t="inlineStr">
        <is>
          <t>Voir</t>
        </is>
      </c>
      <c r="L145" s="21" t="inlineStr">
        <is>
          <t>À contacter</t>
        </is>
      </c>
      <c r="M145" s="21" t="n"/>
      <c r="N145" s="21" t="n"/>
      <c r="O145" s="21" t="n"/>
      <c r="P145" s="15" t="inlineStr">
        <is>
          <t>2e liste (12/10)</t>
        </is>
      </c>
    </row>
    <row r="146" ht="41.25" customHeight="1" s="13">
      <c r="A146" s="15" t="n">
        <v>145</v>
      </c>
      <c r="B146" s="15" t="inlineStr">
        <is>
          <t>Pro France</t>
        </is>
      </c>
      <c r="C146" s="15" t="n">
        <v>2</v>
      </c>
      <c r="D146" s="15" t="inlineStr">
        <is>
          <t>Constructeur de maisons</t>
        </is>
      </c>
      <c r="E146" s="15" t="inlineStr">
        <is>
          <t>Yvelines Tradition</t>
        </is>
      </c>
      <c r="F146" s="15" t="inlineStr">
        <is>
          <t>Ecquevilly (78920)</t>
        </is>
      </c>
      <c r="G146" s="15" t="inlineStr">
        <is>
          <t>Île-de-France</t>
        </is>
      </c>
      <c r="H146" s="15" t="inlineStr">
        <is>
          <t>Constructeur yvelinois de maisons sur mesure haut de gamme (budgets de 250 000 € à 1 M€) : il pourrait proposer MINYALA pour les sols et terrasses de ses villas.</t>
        </is>
      </c>
      <c r="I146" s="20" t="inlineStr">
        <is>
          <t>www.yvelinestradition.fr</t>
        </is>
      </c>
      <c r="J146" s="15" t="inlineStr">
        <is>
          <t>01 39 29 02 39</t>
        </is>
      </c>
      <c r="K146" s="20" t="inlineStr">
        <is>
          <t>Voir</t>
        </is>
      </c>
      <c r="L146" s="21" t="inlineStr">
        <is>
          <t>À contacter</t>
        </is>
      </c>
      <c r="M146" s="21" t="n"/>
      <c r="N146" s="21" t="n"/>
      <c r="O146" s="21" t="n"/>
      <c r="P146" s="15" t="inlineStr">
        <is>
          <t>3e liste (12/10)</t>
        </is>
      </c>
    </row>
    <row r="147" ht="41.25" customHeight="1" s="13">
      <c r="A147" s="15" t="n">
        <v>146</v>
      </c>
      <c r="B147" s="15" t="inlineStr">
        <is>
          <t>Pro France</t>
        </is>
      </c>
      <c r="C147" s="15" t="n">
        <v>2</v>
      </c>
      <c r="D147" s="15" t="inlineStr">
        <is>
          <t>Architecte</t>
        </is>
      </c>
      <c r="E147" s="15" t="inlineStr">
        <is>
          <t>atelier mmnk</t>
        </is>
      </c>
      <c r="F147" s="15" t="inlineStr">
        <is>
          <t>Paris</t>
        </is>
      </c>
      <c r="G147" s="15" t="inlineStr">
        <is>
          <t>Île-de-France</t>
        </is>
      </c>
      <c r="H147" s="15" t="inlineStr">
        <is>
          <t>Cette agence a déjà prescrit du calcaire au sol de l'hôtel Villa Gypsy à Deauville et mène de nombreux projets de restaurants et boutiques à Paris : elle peut prescrire MINYALA.</t>
        </is>
      </c>
      <c r="I147" s="20" t="inlineStr">
        <is>
          <t>mmnk.fr</t>
        </is>
      </c>
      <c r="J147" s="15" t="n"/>
      <c r="K147" s="20" t="inlineStr">
        <is>
          <t>Voir</t>
        </is>
      </c>
      <c r="L147" s="21" t="inlineStr">
        <is>
          <t>À contacter</t>
        </is>
      </c>
      <c r="M147" s="21" t="n"/>
      <c r="N147" s="21" t="n"/>
      <c r="O147" s="21" t="n"/>
      <c r="P147" s="15" t="inlineStr">
        <is>
          <t>2e liste (12/10)</t>
        </is>
      </c>
    </row>
    <row r="148" ht="41.25" customHeight="1" s="13">
      <c r="A148" s="15" t="n">
        <v>147</v>
      </c>
      <c r="B148" s="15" t="inlineStr">
        <is>
          <t>Pro France</t>
        </is>
      </c>
      <c r="C148" s="15" t="n">
        <v>3</v>
      </c>
      <c r="D148" s="15" t="inlineStr">
        <is>
          <t>Maître d'œuvre</t>
        </is>
      </c>
      <c r="E148" s="15" t="inlineStr">
        <is>
          <t>ACT Création</t>
        </is>
      </c>
      <c r="F148" s="15" t="inlineStr">
        <is>
          <t>Caen (14000)</t>
        </is>
      </c>
      <c r="G148" s="15" t="inlineStr">
        <is>
          <t>Normandie</t>
        </is>
      </c>
      <c r="H148" s="15" t="inlineStr">
        <is>
          <t>Ce maître d'œuvre et architecte d'intérieur caennais mène des rénovations clés en main à Caen et à Deauville, et choisit les sols de ses clients.</t>
        </is>
      </c>
      <c r="I148" s="20" t="inlineStr">
        <is>
          <t>www.act-mo.fr</t>
        </is>
      </c>
      <c r="J148" s="15" t="inlineStr">
        <is>
          <t>06 20 86 70 71</t>
        </is>
      </c>
      <c r="K148" s="20" t="inlineStr">
        <is>
          <t>Voir</t>
        </is>
      </c>
      <c r="L148" s="21" t="inlineStr">
        <is>
          <t>À contacter</t>
        </is>
      </c>
      <c r="M148" s="21" t="n"/>
      <c r="N148" s="21" t="n"/>
      <c r="O148" s="21" t="n"/>
      <c r="P148" s="15" t="inlineStr">
        <is>
          <t>2e liste (12/10)</t>
        </is>
      </c>
    </row>
    <row r="149" ht="54.75" customHeight="1" s="13">
      <c r="A149" s="15" t="n">
        <v>148</v>
      </c>
      <c r="B149" s="15" t="inlineStr">
        <is>
          <t>Pro France</t>
        </is>
      </c>
      <c r="C149" s="15" t="n">
        <v>3</v>
      </c>
      <c r="D149" s="15" t="inlineStr">
        <is>
          <t>Rénovation haut de gamme</t>
        </is>
      </c>
      <c r="E149" s="15" t="inlineStr">
        <is>
          <t>Alliance 2</t>
        </is>
      </c>
      <c r="F149" s="15" t="inlineStr">
        <is>
          <t>Tourgéville (14800)</t>
        </is>
      </c>
      <c r="G149" s="15" t="inlineStr">
        <is>
          <t>Normandie</t>
        </is>
      </c>
      <c r="H149" s="15" t="inlineStr">
        <is>
          <t>Entreprise générale de Tourgéville sur des projets de 50 000 € à 1 M€ (rénovation de luxe, terrasses, piscine à Deauville) : elle pourrait acheter MINYALA pour les terrasses et sols de villas (usage à valider avec lui : finition, gel, glissance, humidité).</t>
        </is>
      </c>
      <c r="I149" s="15" t="n"/>
      <c r="J149" s="15" t="inlineStr">
        <is>
          <t>06 44 04 41 65</t>
        </is>
      </c>
      <c r="K149" s="20" t="inlineStr">
        <is>
          <t>Voir</t>
        </is>
      </c>
      <c r="L149" s="21" t="inlineStr">
        <is>
          <t>À contacter</t>
        </is>
      </c>
      <c r="M149" s="21" t="n"/>
      <c r="N149" s="21" t="n"/>
      <c r="O149" s="21" t="n"/>
      <c r="P149" s="15" t="inlineStr">
        <is>
          <t>3e liste (12/10)</t>
        </is>
      </c>
    </row>
    <row r="150" ht="54.75" customHeight="1" s="13">
      <c r="A150" s="15" t="n">
        <v>149</v>
      </c>
      <c r="B150" s="15" t="inlineStr">
        <is>
          <t>Pro France</t>
        </is>
      </c>
      <c r="C150" s="15" t="n">
        <v>3</v>
      </c>
      <c r="D150" s="15" t="inlineStr">
        <is>
          <t>Pisciniste</t>
        </is>
      </c>
      <c r="E150" s="15" t="inlineStr">
        <is>
          <t>Artech Piscines</t>
        </is>
      </c>
      <c r="F150" s="15" t="inlineStr">
        <is>
          <t>Sainte-Adresse (76310)</t>
        </is>
      </c>
      <c r="G150" s="15" t="inlineStr">
        <is>
          <t>Normandie</t>
        </is>
      </c>
      <c r="H150" s="15" t="inlineStr">
        <is>
          <t>Pisciniste de Sainte-Adresse qui construit et rénove des piscines sur mesure et propose spas, saunas et hammams : MINYALA pourrait l'intéresser pour les plages et abords de piscine selon la finition (usage à valider avec lui : finition, gel, glissance, humidité).</t>
        </is>
      </c>
      <c r="I150" s="15" t="n"/>
      <c r="J150" s="15" t="n"/>
      <c r="K150" s="20" t="inlineStr">
        <is>
          <t>Voir</t>
        </is>
      </c>
      <c r="L150" s="21" t="inlineStr">
        <is>
          <t>À contacter</t>
        </is>
      </c>
      <c r="M150" s="21" t="n"/>
      <c r="N150" s="21" t="n"/>
      <c r="O150" s="21" t="n"/>
      <c r="P150" s="15" t="inlineStr">
        <is>
          <t>3e liste (12/10)</t>
        </is>
      </c>
    </row>
    <row r="151" ht="41.25" customHeight="1" s="13">
      <c r="A151" s="15" t="n">
        <v>150</v>
      </c>
      <c r="B151" s="15" t="inlineStr">
        <is>
          <t>Pro France</t>
        </is>
      </c>
      <c r="C151" s="15" t="n">
        <v>3</v>
      </c>
      <c r="D151" s="15" t="inlineStr">
        <is>
          <t>Carreleur / poseur pierre</t>
        </is>
      </c>
      <c r="E151" s="15" t="inlineStr">
        <is>
          <t>Carreleur Mosaïste 2M</t>
        </is>
      </c>
      <c r="F151" s="15" t="inlineStr">
        <is>
          <t>Le Havre (76620)</t>
        </is>
      </c>
      <c r="G151" s="15" t="inlineStr">
        <is>
          <t>Normandie</t>
        </is>
      </c>
      <c r="H151" s="15" t="inlineStr">
        <is>
          <t>Ce maçon-carreleur du Havre pose déjà des dallages en pierre et peut acheter MINYALA pour ses chantiers de rénovation intérieure et extérieure.</t>
        </is>
      </c>
      <c r="I151" s="15" t="n"/>
      <c r="J151" s="15" t="n"/>
      <c r="K151" s="20" t="inlineStr">
        <is>
          <t>Voir</t>
        </is>
      </c>
      <c r="L151" s="21" t="inlineStr">
        <is>
          <t>À contacter</t>
        </is>
      </c>
      <c r="M151" s="21" t="n"/>
      <c r="N151" s="21" t="n"/>
      <c r="O151" s="21" t="n"/>
      <c r="P151" s="15" t="inlineStr">
        <is>
          <t>2e liste (12/10)</t>
        </is>
      </c>
    </row>
    <row r="152" ht="41.25" customHeight="1" s="13">
      <c r="A152" s="15" t="n">
        <v>151</v>
      </c>
      <c r="B152" s="15" t="inlineStr">
        <is>
          <t>Pro France</t>
        </is>
      </c>
      <c r="C152" s="15" t="n">
        <v>3</v>
      </c>
      <c r="D152" s="15" t="inlineStr">
        <is>
          <t>Constructeur de maisons</t>
        </is>
      </c>
      <c r="E152" s="15" t="inlineStr">
        <is>
          <t>EC3S</t>
        </is>
      </c>
      <c r="F152" s="15" t="inlineStr">
        <is>
          <t>Caen (14000)</t>
        </is>
      </c>
      <c r="G152" s="15" t="inlineStr">
        <is>
          <t>Normandie</t>
        </is>
      </c>
      <c r="H152" s="15" t="inlineStr">
        <is>
          <t>Constructeur caennais de maisons sur mesure qui réalise aussi des extensions : MINYALA pourrait habiller les sols et terrasses de ses projets haut de gamme.</t>
        </is>
      </c>
      <c r="I152" s="20" t="inlineStr">
        <is>
          <t>www.ec3s.fr</t>
        </is>
      </c>
      <c r="J152" s="15" t="inlineStr">
        <is>
          <t>02 31 28 27 20</t>
        </is>
      </c>
      <c r="K152" s="20" t="inlineStr">
        <is>
          <t>Voir</t>
        </is>
      </c>
      <c r="L152" s="21" t="inlineStr">
        <is>
          <t>À contacter</t>
        </is>
      </c>
      <c r="M152" s="21" t="n"/>
      <c r="N152" s="21" t="n"/>
      <c r="O152" s="21" t="n"/>
      <c r="P152" s="15" t="inlineStr">
        <is>
          <t>3e liste (12/10)</t>
        </is>
      </c>
    </row>
    <row r="153" ht="41.25" customHeight="1" s="13">
      <c r="A153" s="15" t="n">
        <v>152</v>
      </c>
      <c r="B153" s="15" t="inlineStr">
        <is>
          <t>Pro France</t>
        </is>
      </c>
      <c r="C153" s="15" t="n">
        <v>3</v>
      </c>
      <c r="D153" s="15" t="inlineStr">
        <is>
          <t>Paysagiste</t>
        </is>
      </c>
      <c r="E153" s="15" t="inlineStr">
        <is>
          <t>Fdpaysage</t>
        </is>
      </c>
      <c r="F153" s="15" t="inlineStr">
        <is>
          <t>Saint-Désir (14100)</t>
        </is>
      </c>
      <c r="G153" s="15" t="inlineStr">
        <is>
          <t>Normandie</t>
        </is>
      </c>
      <c r="H153" s="15" t="inlineStr">
        <is>
          <t>Ce paysagiste du Pays d'Auge pose dallages de jardin, murets et décors minéraux : il peut utiliser MINYALA pour ses allées et terrasses.</t>
        </is>
      </c>
      <c r="I153" s="15" t="n"/>
      <c r="J153" s="15" t="n"/>
      <c r="K153" s="20" t="inlineStr">
        <is>
          <t>Voir</t>
        </is>
      </c>
      <c r="L153" s="21" t="inlineStr">
        <is>
          <t>À contacter</t>
        </is>
      </c>
      <c r="M153" s="21" t="n"/>
      <c r="N153" s="21" t="n"/>
      <c r="O153" s="21" t="n"/>
      <c r="P153" s="15" t="inlineStr">
        <is>
          <t>2e liste (12/10)</t>
        </is>
      </c>
    </row>
    <row r="154" ht="41.25" customHeight="1" s="13">
      <c r="A154" s="15" t="n">
        <v>153</v>
      </c>
      <c r="B154" s="15" t="inlineStr">
        <is>
          <t>Pro France</t>
        </is>
      </c>
      <c r="C154" s="15" t="n">
        <v>3</v>
      </c>
      <c r="D154" s="15" t="inlineStr">
        <is>
          <t>Constructeur de maisons</t>
        </is>
      </c>
      <c r="E154" s="15" t="inlineStr">
        <is>
          <t>Gueudry Constructions</t>
        </is>
      </c>
      <c r="F154" s="15" t="inlineStr">
        <is>
          <t>Le Trait (76580)</t>
        </is>
      </c>
      <c r="G154" s="15" t="inlineStr">
        <is>
          <t>Normandie</t>
        </is>
      </c>
      <c r="H154" s="15" t="inlineStr">
        <is>
          <t>Constructeur normand de maisons individuelles sur mesure depuis plus de 65 ans, avec des agences dans l'Eure : il pourrait proposer MINYALA en option de sol ou de terrasse.</t>
        </is>
      </c>
      <c r="I154" s="20" t="inlineStr">
        <is>
          <t>www.gueudry.fr</t>
        </is>
      </c>
      <c r="J154" s="15" t="inlineStr">
        <is>
          <t>02 35 37 64 04</t>
        </is>
      </c>
      <c r="K154" s="20" t="inlineStr">
        <is>
          <t>Voir</t>
        </is>
      </c>
      <c r="L154" s="21" t="inlineStr">
        <is>
          <t>À contacter</t>
        </is>
      </c>
      <c r="M154" s="21" t="n"/>
      <c r="N154" s="21" t="n"/>
      <c r="O154" s="21" t="n"/>
      <c r="P154" s="15" t="inlineStr">
        <is>
          <t>3e liste (12/10)</t>
        </is>
      </c>
    </row>
    <row r="155" ht="41.25" customHeight="1" s="13">
      <c r="A155" s="15" t="n">
        <v>154</v>
      </c>
      <c r="B155" s="15" t="inlineStr">
        <is>
          <t>Pro France</t>
        </is>
      </c>
      <c r="C155" s="15" t="n">
        <v>3</v>
      </c>
      <c r="D155" s="15" t="inlineStr">
        <is>
          <t>Architecte d'intérieur</t>
        </is>
      </c>
      <c r="E155" s="15" t="inlineStr">
        <is>
          <t>Laurence Vermont Architecture d'intérieur</t>
        </is>
      </c>
      <c r="F155" s="15" t="inlineStr">
        <is>
          <t>Bonsecours (76240)</t>
        </is>
      </c>
      <c r="G155" s="15" t="inlineStr">
        <is>
          <t>Normandie</t>
        </is>
      </c>
      <c r="H155" s="15" t="inlineStr">
        <is>
          <t>Cette architecte d'intérieur près de Rouen rénove des maisons patrimoniales et chiffre les fournitures de ses projets, elle pourrait y prescrire MINYALA en sol.</t>
        </is>
      </c>
      <c r="I155" s="20" t="inlineStr">
        <is>
          <t>laurencevermontdecoration.fr</t>
        </is>
      </c>
      <c r="J155" s="15" t="inlineStr">
        <is>
          <t>06 65 69 67 08</t>
        </is>
      </c>
      <c r="K155" s="20" t="inlineStr">
        <is>
          <t>Voir</t>
        </is>
      </c>
      <c r="L155" s="21" t="inlineStr">
        <is>
          <t>À contacter</t>
        </is>
      </c>
      <c r="M155" s="21" t="n"/>
      <c r="N155" s="21" t="n"/>
      <c r="O155" s="21" t="n"/>
      <c r="P155" s="15" t="inlineStr">
        <is>
          <t>2e liste (12/10)</t>
        </is>
      </c>
    </row>
    <row r="156" ht="54.75" customHeight="1" s="13">
      <c r="A156" s="15" t="n">
        <v>155</v>
      </c>
      <c r="B156" s="15" t="inlineStr">
        <is>
          <t>Pro France</t>
        </is>
      </c>
      <c r="C156" s="15" t="n">
        <v>3</v>
      </c>
      <c r="D156" s="15" t="inlineStr">
        <is>
          <t>Salle de bains</t>
        </is>
      </c>
      <c r="E156" s="15" t="inlineStr">
        <is>
          <t>Ma Solution Habitat</t>
        </is>
      </c>
      <c r="F156" s="15" t="inlineStr">
        <is>
          <t>Fontenay-le-Marmion (14320)</t>
        </is>
      </c>
      <c r="G156" s="15" t="inlineStr">
        <is>
          <t>Normandie</t>
        </is>
      </c>
      <c r="H156" s="15" t="inlineStr">
        <is>
          <t>Maître artisan près de Caen qui rénove des salles de bains clé en main (carrelage compris), installe hammams et saunas et crée des terrasses, il pourrait poser MINYALA en sols de salles d'eau ou de terrasses (usage à valider avec lui : finition, gel, glissance, humidité).</t>
        </is>
      </c>
      <c r="I156" s="20" t="inlineStr">
        <is>
          <t>masolution-habitat.fr</t>
        </is>
      </c>
      <c r="J156" s="15" t="inlineStr">
        <is>
          <t>07 76 09 62 57</t>
        </is>
      </c>
      <c r="K156" s="20" t="inlineStr">
        <is>
          <t>Voir</t>
        </is>
      </c>
      <c r="L156" s="21" t="inlineStr">
        <is>
          <t>À contacter</t>
        </is>
      </c>
      <c r="M156" s="21" t="n"/>
      <c r="N156" s="21" t="n"/>
      <c r="O156" s="21" t="n"/>
      <c r="P156" s="15" t="inlineStr">
        <is>
          <t>3e liste (12/10)</t>
        </is>
      </c>
    </row>
    <row r="157" ht="41.25" customHeight="1" s="13">
      <c r="A157" s="15" t="n">
        <v>156</v>
      </c>
      <c r="B157" s="15" t="inlineStr">
        <is>
          <t>Pro France</t>
        </is>
      </c>
      <c r="C157" s="15" t="n">
        <v>3</v>
      </c>
      <c r="D157" s="15" t="inlineStr">
        <is>
          <t>Pisciniste</t>
        </is>
      </c>
      <c r="E157" s="15" t="inlineStr">
        <is>
          <t>Magic'Piscines (concessionnaire Magiline Évreux)</t>
        </is>
      </c>
      <c r="F157" s="15" t="inlineStr">
        <is>
          <t>Sainte-Colombe-la-Commanderie (27110)</t>
        </is>
      </c>
      <c r="G157" s="15" t="inlineStr">
        <is>
          <t>Normandie</t>
        </is>
      </c>
      <c r="H157" s="15" t="inlineStr">
        <is>
          <t>Ce constructeur de piscines enterrées de l'Eure pourrait proposer MINYALA en plage de piscine à ses clients autour d'Évreux (usage à valider avec lui : finition, gel, glissance, humidité).</t>
        </is>
      </c>
      <c r="I157" s="15" t="n"/>
      <c r="J157" s="15" t="inlineStr">
        <is>
          <t>02 32 24 28 11</t>
        </is>
      </c>
      <c r="K157" s="20" t="inlineStr">
        <is>
          <t>Voir</t>
        </is>
      </c>
      <c r="L157" s="21" t="inlineStr">
        <is>
          <t>À contacter</t>
        </is>
      </c>
      <c r="M157" s="21" t="n"/>
      <c r="N157" s="21" t="n"/>
      <c r="O157" s="21" t="n"/>
      <c r="P157" s="15" t="inlineStr">
        <is>
          <t>2e liste (12/10)</t>
        </is>
      </c>
    </row>
    <row r="158" ht="54.75" customHeight="1" s="13">
      <c r="A158" s="15" t="n">
        <v>157</v>
      </c>
      <c r="B158" s="15" t="inlineStr">
        <is>
          <t>Pro France</t>
        </is>
      </c>
      <c r="C158" s="15" t="n">
        <v>3</v>
      </c>
      <c r="D158" s="15" t="inlineStr">
        <is>
          <t>Constructeur de maisons</t>
        </is>
      </c>
      <c r="E158" s="15" t="inlineStr">
        <is>
          <t>Maisons Socoren (agence de Caen)</t>
        </is>
      </c>
      <c r="F158" s="15" t="inlineStr">
        <is>
          <t>Ifs (14123)</t>
        </is>
      </c>
      <c r="G158" s="15" t="inlineStr">
        <is>
          <t>Normandie</t>
        </is>
      </c>
      <c r="H158" s="15" t="inlineStr">
        <is>
          <t>Constructeur de maisons bois haut de gamme sur mesure dont les réalisations dans le Calvados comprennent piscine et terrasse, il pourrait proposer MINYALA pour les abords et les sols de ces maisons (usage à valider avec lui : finition, gel, glissance, humidité).</t>
        </is>
      </c>
      <c r="I158" s="20" t="inlineStr">
        <is>
          <t>www.socoren.com</t>
        </is>
      </c>
      <c r="J158" s="15" t="inlineStr">
        <is>
          <t>02 31 34 08 25</t>
        </is>
      </c>
      <c r="K158" s="20" t="inlineStr">
        <is>
          <t>Voir</t>
        </is>
      </c>
      <c r="L158" s="21" t="inlineStr">
        <is>
          <t>À contacter</t>
        </is>
      </c>
      <c r="M158" s="21" t="n"/>
      <c r="N158" s="21" t="n"/>
      <c r="O158" s="21" t="n"/>
      <c r="P158" s="15" t="inlineStr">
        <is>
          <t>3e liste (12/10)</t>
        </is>
      </c>
    </row>
    <row r="159" ht="27.75" customHeight="1" s="13">
      <c r="A159" s="15" t="n">
        <v>158</v>
      </c>
      <c r="B159" s="15" t="inlineStr">
        <is>
          <t>Pro France</t>
        </is>
      </c>
      <c r="C159" s="15" t="n">
        <v>3</v>
      </c>
      <c r="D159" s="15" t="inlineStr">
        <is>
          <t>Architecte d'intérieur</t>
        </is>
      </c>
      <c r="E159" s="15" t="inlineStr">
        <is>
          <t>Nicolas Guérin (architecte d'intérieur)</t>
        </is>
      </c>
      <c r="F159" s="15" t="inlineStr">
        <is>
          <t>Caen (14000)</t>
        </is>
      </c>
      <c r="G159" s="15" t="inlineStr">
        <is>
          <t>Normandie</t>
        </is>
      </c>
      <c r="H159" s="15" t="inlineStr">
        <is>
          <t>Cet architecte d'intérieur caennais agence restaurants, bars, cafés et magasins : MINYALA peut convenir aux sols de ces commerces.</t>
        </is>
      </c>
      <c r="I159" s="15" t="n"/>
      <c r="J159" s="15" t="n"/>
      <c r="K159" s="20" t="inlineStr">
        <is>
          <t>Voir</t>
        </is>
      </c>
      <c r="L159" s="21" t="inlineStr">
        <is>
          <t>À contacter</t>
        </is>
      </c>
      <c r="M159" s="21" t="n"/>
      <c r="N159" s="21" t="n"/>
      <c r="O159" s="21" t="n"/>
      <c r="P159" s="15" t="inlineStr">
        <is>
          <t>2e liste (12/10)</t>
        </is>
      </c>
    </row>
    <row r="160" ht="54.75" customHeight="1" s="13">
      <c r="A160" s="15" t="n">
        <v>159</v>
      </c>
      <c r="B160" s="15" t="inlineStr">
        <is>
          <t>Pro France</t>
        </is>
      </c>
      <c r="C160" s="15" t="n">
        <v>3</v>
      </c>
      <c r="D160" s="15" t="inlineStr">
        <is>
          <t>Pisciniste</t>
        </is>
      </c>
      <c r="E160" s="15" t="inlineStr">
        <is>
          <t>Piscines du Pays d'Auge</t>
        </is>
      </c>
      <c r="F160" s="15" t="inlineStr">
        <is>
          <t>Clarbec (14130)</t>
        </is>
      </c>
      <c r="G160" s="15" t="inlineStr">
        <is>
          <t>Normandie</t>
        </is>
      </c>
      <c r="H160" s="15" t="inlineStr">
        <is>
          <t>Pisciniste du Pays d'Auge qui construit des piscines et installe spas, saunas et hammams autour de Deauville : MINYALA pourrait servir pour les plages de piscine selon la finition et la pose (usage à valider avec lui : finition, gel, glissance, humidité).</t>
        </is>
      </c>
      <c r="I160" s="15" t="n"/>
      <c r="J160" s="15" t="inlineStr">
        <is>
          <t>06 84 59 00 74</t>
        </is>
      </c>
      <c r="K160" s="20" t="inlineStr">
        <is>
          <t>Voir</t>
        </is>
      </c>
      <c r="L160" s="21" t="inlineStr">
        <is>
          <t>À contacter</t>
        </is>
      </c>
      <c r="M160" s="21" t="n"/>
      <c r="N160" s="21" t="n"/>
      <c r="O160" s="21" t="n"/>
      <c r="P160" s="15" t="inlineStr">
        <is>
          <t>3e liste (12/10)</t>
        </is>
      </c>
    </row>
    <row r="161" ht="41.25" customHeight="1" s="13">
      <c r="A161" s="15" t="n">
        <v>160</v>
      </c>
      <c r="B161" s="15" t="inlineStr">
        <is>
          <t>Pro France</t>
        </is>
      </c>
      <c r="C161" s="15" t="n">
        <v>3</v>
      </c>
      <c r="D161" s="15" t="inlineStr">
        <is>
          <t>Pisciniste</t>
        </is>
      </c>
      <c r="E161" s="15" t="inlineStr">
        <is>
          <t>Seine et Mer Piscines (concessionnaire Mondial Piscine Rouen)</t>
        </is>
      </c>
      <c r="F161" s="15" t="inlineStr">
        <is>
          <t>Franqueville-Saint-Pierre (76520)</t>
        </is>
      </c>
      <c r="G161" s="15" t="inlineStr">
        <is>
          <t>Normandie</t>
        </is>
      </c>
      <c r="H161" s="15" t="inlineStr">
        <is>
          <t>Ce pisciniste de l'est rouennais, avec plus de 150 piscines neuves et 80 rénovations, peut proposer MINYALA en plages et en margelles à ses clients (usage à valider avec lui : finition, gel, glissance, humidité).</t>
        </is>
      </c>
      <c r="I161" s="20" t="inlineStr">
        <is>
          <t>rouen.mondial-piscine.eu</t>
        </is>
      </c>
      <c r="J161" s="15" t="inlineStr">
        <is>
          <t>02 35 32 85 84</t>
        </is>
      </c>
      <c r="K161" s="20" t="inlineStr">
        <is>
          <t>Voir</t>
        </is>
      </c>
      <c r="L161" s="21" t="inlineStr">
        <is>
          <t>À contacter</t>
        </is>
      </c>
      <c r="M161" s="21" t="n"/>
      <c r="N161" s="21" t="n"/>
      <c r="O161" s="21" t="n"/>
      <c r="P161" s="15" t="inlineStr">
        <is>
          <t>2e liste (12/10)</t>
        </is>
      </c>
    </row>
    <row r="162" ht="41.25" customHeight="1" s="13">
      <c r="A162" s="15" t="n">
        <v>161</v>
      </c>
      <c r="B162" s="15" t="inlineStr">
        <is>
          <t>Pro France</t>
        </is>
      </c>
      <c r="C162" s="15" t="n">
        <v>3</v>
      </c>
      <c r="D162" s="15" t="inlineStr">
        <is>
          <t>Architecte d'intérieur</t>
        </is>
      </c>
      <c r="E162" s="15" t="inlineStr">
        <is>
          <t>Studio Alexandra Barluet (AB Décoration)</t>
        </is>
      </c>
      <c r="F162" s="15" t="inlineStr">
        <is>
          <t>Rouen (76160)</t>
        </is>
      </c>
      <c r="G162" s="15" t="inlineStr">
        <is>
          <t>Normandie</t>
        </is>
      </c>
      <c r="H162" s="15" t="inlineStr">
        <is>
          <t>Ce studio rouennais d'architecture intérieure conçoit des maisons, des appartements et des restaurants, et peut proposer MINYALA en sol de pièce de vie ou de salle.</t>
        </is>
      </c>
      <c r="I162" s="20" t="inlineStr">
        <is>
          <t>abdecoration.fr</t>
        </is>
      </c>
      <c r="J162" s="15" t="inlineStr">
        <is>
          <t>06 58 13 15 32</t>
        </is>
      </c>
      <c r="K162" s="20" t="inlineStr">
        <is>
          <t>Voir</t>
        </is>
      </c>
      <c r="L162" s="21" t="inlineStr">
        <is>
          <t>À contacter</t>
        </is>
      </c>
      <c r="M162" s="21" t="n"/>
      <c r="N162" s="21" t="n"/>
      <c r="O162" s="21" t="n"/>
      <c r="P162" s="15" t="inlineStr">
        <is>
          <t>2e liste (12/10)</t>
        </is>
      </c>
    </row>
    <row r="163" ht="41.25" customHeight="1" s="13">
      <c r="A163" s="15" t="n">
        <v>162</v>
      </c>
      <c r="B163" s="15" t="inlineStr">
        <is>
          <t>Pro France</t>
        </is>
      </c>
      <c r="C163" s="15" t="n">
        <v>3</v>
      </c>
      <c r="D163" s="15" t="inlineStr">
        <is>
          <t>Architecte d'intérieur</t>
        </is>
      </c>
      <c r="E163" s="15" t="inlineStr">
        <is>
          <t>Studio ELC Design</t>
        </is>
      </c>
      <c r="F163" s="15" t="inlineStr">
        <is>
          <t>Deauville (14800)</t>
        </is>
      </c>
      <c r="G163" s="15" t="inlineStr">
        <is>
          <t>Normandie</t>
        </is>
      </c>
      <c r="H163" s="15" t="inlineStr">
        <is>
          <t>Ce studio d'architecture intérieure de Deauville travaille sur des villas et un hôtel de la Côte Fleurie, une clientèle qui peut demander des sols en calcaire comme MINYALA.</t>
        </is>
      </c>
      <c r="I163" s="15" t="n"/>
      <c r="J163" s="15" t="inlineStr">
        <is>
          <t>06 16 79 46 17</t>
        </is>
      </c>
      <c r="K163" s="20" t="inlineStr">
        <is>
          <t>Voir</t>
        </is>
      </c>
      <c r="L163" s="21" t="inlineStr">
        <is>
          <t>À contacter</t>
        </is>
      </c>
      <c r="M163" s="21" t="n"/>
      <c r="N163" s="21" t="n"/>
      <c r="O163" s="21" t="n"/>
      <c r="P163" s="15" t="inlineStr">
        <is>
          <t>2e liste (12/10)</t>
        </is>
      </c>
    </row>
    <row r="164" ht="41.25" customHeight="1" s="13">
      <c r="A164" s="15" t="n">
        <v>163</v>
      </c>
      <c r="B164" s="15" t="inlineStr">
        <is>
          <t>Pro France</t>
        </is>
      </c>
      <c r="C164" s="15" t="n">
        <v>3</v>
      </c>
      <c r="D164" s="15" t="inlineStr">
        <is>
          <t>Hôtel / restaurant</t>
        </is>
      </c>
      <c r="E164" s="15" t="inlineStr">
        <is>
          <t>TRIBE Cabourg</t>
        </is>
      </c>
      <c r="F164" s="15" t="inlineStr">
        <is>
          <t>Cabourg (14390)</t>
        </is>
      </c>
      <c r="G164" s="15" t="inlineStr">
        <is>
          <t>Normandie</t>
        </is>
      </c>
      <c r="H164" s="15" t="inlineStr">
        <is>
          <t>Hôtel de 79 chambres en construction face au marché de Cabourg, avec grand jardin et sauna, ouverture prévue en mars 2027 : les terrasses ou les sols restent peut-être à fournir.</t>
        </is>
      </c>
      <c r="I164" s="20" t="inlineStr">
        <is>
          <t>tribehotels.com/en/france/cabourg</t>
        </is>
      </c>
      <c r="J164" s="15" t="n"/>
      <c r="K164" s="20" t="inlineStr">
        <is>
          <t>Voir</t>
        </is>
      </c>
      <c r="L164" s="21" t="inlineStr">
        <is>
          <t>À contacter</t>
        </is>
      </c>
      <c r="M164" s="21" t="n"/>
      <c r="N164" s="21" t="n"/>
      <c r="O164" s="21" t="n"/>
      <c r="P164" s="15" t="inlineStr">
        <is>
          <t>3e liste (12/10)</t>
        </is>
      </c>
    </row>
    <row r="165" ht="54.75" customHeight="1" s="13">
      <c r="A165" s="15" t="n">
        <v>164</v>
      </c>
      <c r="B165" s="15" t="inlineStr">
        <is>
          <t>Pro France</t>
        </is>
      </c>
      <c r="C165" s="15" t="n">
        <v>3</v>
      </c>
      <c r="D165" s="15" t="inlineStr">
        <is>
          <t>Promoteur</t>
        </is>
      </c>
      <c r="E165" s="15" t="inlineStr">
        <is>
          <t>Terralia Immobilier (agence Normandie)</t>
        </is>
      </c>
      <c r="F165" s="15" t="inlineStr">
        <is>
          <t>Beuzeville (27210)</t>
        </is>
      </c>
      <c r="G165" s="15" t="inlineStr">
        <is>
          <t>Normandie</t>
        </is>
      </c>
      <c r="H165" s="15" t="inlineStr">
        <is>
          <t>Promoteur qui développe à Deauville une résidence confidentielle de 12 appartements avec terrasses panoramiques et prépare d'autres programmes normands, il pourrait prescrire MINYALA pour les halls, sols et terrasses de ses prochaines opérations.</t>
        </is>
      </c>
      <c r="I165" s="20" t="inlineStr">
        <is>
          <t>terralia-immobilier.fr</t>
        </is>
      </c>
      <c r="J165" s="15" t="inlineStr">
        <is>
          <t>03 87 500 300</t>
        </is>
      </c>
      <c r="K165" s="20" t="inlineStr">
        <is>
          <t>Voir</t>
        </is>
      </c>
      <c r="L165" s="21" t="inlineStr">
        <is>
          <t>À contacter</t>
        </is>
      </c>
      <c r="M165" s="21" t="n"/>
      <c r="N165" s="21" t="n"/>
      <c r="O165" s="21" t="n"/>
      <c r="P165" s="15" t="inlineStr">
        <is>
          <t>3e liste (12/10)</t>
        </is>
      </c>
    </row>
    <row r="166" ht="15" customHeight="1" s="13">
      <c r="A166" s="15" t="n">
        <v>165</v>
      </c>
      <c r="B166" s="15" t="inlineStr">
        <is>
          <t>Pro France</t>
        </is>
      </c>
      <c r="C166" s="15" t="n">
        <v>3</v>
      </c>
      <c r="D166" s="15" t="inlineStr">
        <is>
          <t>Paysagiste</t>
        </is>
      </c>
      <c r="E166" s="15" t="inlineStr">
        <is>
          <t>Translin Aurelien</t>
        </is>
      </c>
      <c r="F166" s="15" t="inlineStr">
        <is>
          <t>Octeville-sur-Mer (76930)</t>
        </is>
      </c>
      <c r="G166" s="15" t="inlineStr">
        <is>
          <t>Normandie</t>
        </is>
      </c>
      <c r="H166" s="15" t="inlineStr">
        <is>
          <t>Paysagiste, aménagement de jardins. Près du Havre.</t>
        </is>
      </c>
      <c r="I166" s="15" t="n"/>
      <c r="J166" s="15" t="n"/>
      <c r="K166" s="20" t="inlineStr">
        <is>
          <t>Voir</t>
        </is>
      </c>
      <c r="L166" s="21" t="inlineStr">
        <is>
          <t>À contacter</t>
        </is>
      </c>
      <c r="M166" s="21" t="n"/>
      <c r="N166" s="21" t="n"/>
      <c r="O166" s="21" t="n"/>
      <c r="P166" s="15" t="inlineStr">
        <is>
          <t>1re liste (08/10)</t>
        </is>
      </c>
    </row>
    <row r="167" ht="41.25" customHeight="1" s="13">
      <c r="A167" s="15" t="n">
        <v>166</v>
      </c>
      <c r="B167" s="15" t="inlineStr">
        <is>
          <t>Pro France</t>
        </is>
      </c>
      <c r="C167" s="15" t="n">
        <v>3</v>
      </c>
      <c r="D167" s="15" t="inlineStr">
        <is>
          <t>Architecte d'intérieur</t>
        </is>
      </c>
      <c r="E167" s="15" t="inlineStr">
        <is>
          <t>Ynspir (architecte d'intérieur Caen)</t>
        </is>
      </c>
      <c r="F167" s="15" t="inlineStr">
        <is>
          <t>Caen</t>
        </is>
      </c>
      <c r="G167" s="15" t="inlineStr">
        <is>
          <t>Normandie</t>
        </is>
      </c>
      <c r="H167" s="15" t="inlineStr">
        <is>
          <t>Cette architecte d'intérieur caennaise du réseau Ynspir privilégie les matériaux nobles et la pierre calcaire, donc elle peut prescrire MINYALA en sol.</t>
        </is>
      </c>
      <c r="I167" s="20" t="inlineStr">
        <is>
          <t>ynspir.com</t>
        </is>
      </c>
      <c r="J167" s="15" t="inlineStr">
        <is>
          <t>07 80 96 48 84</t>
        </is>
      </c>
      <c r="K167" s="20" t="inlineStr">
        <is>
          <t>Voir</t>
        </is>
      </c>
      <c r="L167" s="21" t="inlineStr">
        <is>
          <t>À contacter</t>
        </is>
      </c>
      <c r="M167" s="21" t="n"/>
      <c r="N167" s="21" t="n"/>
      <c r="O167" s="21" t="n"/>
      <c r="P167" s="15" t="inlineStr">
        <is>
          <t>2e liste (12/10)</t>
        </is>
      </c>
    </row>
    <row r="168" ht="41.25" customHeight="1" s="13">
      <c r="A168" s="15" t="n">
        <v>167</v>
      </c>
      <c r="B168" s="15" t="inlineStr">
        <is>
          <t>Pro France</t>
        </is>
      </c>
      <c r="C168" s="15" t="n">
        <v>3</v>
      </c>
      <c r="D168" s="15" t="inlineStr">
        <is>
          <t>Carreleur / poseur pierre</t>
        </is>
      </c>
      <c r="E168" s="15" t="inlineStr">
        <is>
          <t>Éric Devaux (SARL Devaux)</t>
        </is>
      </c>
      <c r="F168" s="15" t="inlineStr">
        <is>
          <t>Thiberville (27230)</t>
        </is>
      </c>
      <c r="G168" s="15" t="inlineStr">
        <is>
          <t>Normandie</t>
        </is>
      </c>
      <c r="H168" s="15" t="inlineStr">
        <is>
          <t>Entreprise de l'Eure qui pose du pavage et du dallage en pierre naturelle pour allées, cours et terrasses dans toute la Normandie : elle pourrait utiliser MINYALA pour ses terrasses.</t>
        </is>
      </c>
      <c r="I168" s="20" t="inlineStr">
        <is>
          <t>www.eric-devaux.fr</t>
        </is>
      </c>
      <c r="J168" s="15" t="inlineStr">
        <is>
          <t>02 32 46 87 14</t>
        </is>
      </c>
      <c r="K168" s="20" t="inlineStr">
        <is>
          <t>Voir</t>
        </is>
      </c>
      <c r="L168" s="21" t="inlineStr">
        <is>
          <t>À contacter</t>
        </is>
      </c>
      <c r="M168" s="21" t="n"/>
      <c r="N168" s="21" t="n"/>
      <c r="O168" s="21" t="n"/>
      <c r="P168" s="15" t="inlineStr">
        <is>
          <t>3e liste (12/10)</t>
        </is>
      </c>
    </row>
    <row r="169" ht="41.25" customHeight="1" s="13">
      <c r="A169" s="15" t="n">
        <v>168</v>
      </c>
      <c r="B169" s="15" t="inlineStr">
        <is>
          <t>Pro France</t>
        </is>
      </c>
      <c r="C169" s="15" t="n">
        <v>3</v>
      </c>
      <c r="D169" s="15" t="inlineStr">
        <is>
          <t>Paysagiste</t>
        </is>
      </c>
      <c r="E169" s="15" t="inlineStr">
        <is>
          <t>Albizia</t>
        </is>
      </c>
      <c r="F169" s="15" t="inlineStr">
        <is>
          <t>Colombes (92700)</t>
        </is>
      </c>
      <c r="G169" s="15" t="inlineStr">
        <is>
          <t>Île-de-France</t>
        </is>
      </c>
      <c r="H169" s="15" t="inlineStr">
        <is>
          <t>Ce paysagiste de Colombes, limitrophe de Gennevilliers, fait du dallage de jardin et de la maçonnerie paysagère : il peut retirer de petits lots de MINYALA à l'entrepôt.</t>
        </is>
      </c>
      <c r="I169" s="15" t="n"/>
      <c r="J169" s="15" t="n"/>
      <c r="K169" s="20" t="inlineStr">
        <is>
          <t>Voir</t>
        </is>
      </c>
      <c r="L169" s="21" t="inlineStr">
        <is>
          <t>À contacter</t>
        </is>
      </c>
      <c r="M169" s="21" t="n"/>
      <c r="N169" s="21" t="n"/>
      <c r="O169" s="21" t="n"/>
      <c r="P169" s="15" t="inlineStr">
        <is>
          <t>2e liste (12/10)</t>
        </is>
      </c>
    </row>
    <row r="170" ht="41.25" customHeight="1" s="13">
      <c r="A170" s="15" t="n">
        <v>169</v>
      </c>
      <c r="B170" s="15" t="inlineStr">
        <is>
          <t>Pro France</t>
        </is>
      </c>
      <c r="C170" s="15" t="n">
        <v>3</v>
      </c>
      <c r="D170" s="15" t="inlineStr">
        <is>
          <t>Paysagiste</t>
        </is>
      </c>
      <c r="E170" s="15" t="inlineStr">
        <is>
          <t>Antunes Jardinage</t>
        </is>
      </c>
      <c r="F170" s="15" t="inlineStr">
        <is>
          <t>Rambouillet (78120)</t>
        </is>
      </c>
      <c r="G170" s="15" t="inlineStr">
        <is>
          <t>Île-de-France</t>
        </is>
      </c>
      <c r="H170" s="15" t="inlineStr">
        <is>
          <t>Paysagiste du sud des Yvelines qui réalise de la maçonnerie paysagère et des terrasses en pierre, il pourrait utiliser MINYALA pour ses terrasses et allées.</t>
        </is>
      </c>
      <c r="I170" s="20" t="inlineStr">
        <is>
          <t>www.antunesjardinage.fr</t>
        </is>
      </c>
      <c r="J170" s="15" t="inlineStr">
        <is>
          <t>01 34 85 28 61</t>
        </is>
      </c>
      <c r="K170" s="20" t="inlineStr">
        <is>
          <t>Voir</t>
        </is>
      </c>
      <c r="L170" s="21" t="inlineStr">
        <is>
          <t>À contacter</t>
        </is>
      </c>
      <c r="M170" s="21" t="n"/>
      <c r="N170" s="21" t="n"/>
      <c r="O170" s="21" t="n"/>
      <c r="P170" s="15" t="inlineStr">
        <is>
          <t>3e liste (12/10)</t>
        </is>
      </c>
    </row>
    <row r="171" ht="54.75" customHeight="1" s="13">
      <c r="A171" s="15" t="n">
        <v>170</v>
      </c>
      <c r="B171" s="15" t="inlineStr">
        <is>
          <t>Pro France</t>
        </is>
      </c>
      <c r="C171" s="15" t="n">
        <v>3</v>
      </c>
      <c r="D171" s="15" t="inlineStr">
        <is>
          <t>Pisciniste</t>
        </is>
      </c>
      <c r="E171" s="15" t="inlineStr">
        <is>
          <t>Aqua System (membre L'Esprit Piscine)</t>
        </is>
      </c>
      <c r="F171" s="15" t="inlineStr">
        <is>
          <t>Freneuse (78840)</t>
        </is>
      </c>
      <c r="G171" s="15" t="inlineStr">
        <is>
          <t>Île-de-France</t>
        </is>
      </c>
      <c r="H171" s="15" t="inlineStr">
        <is>
          <t>Constructeur et rénovateur de piscines béton sur mesure dans les Yvelines, il pourrait proposer MINYALA pour les plages de ses bassins neufs ou rénovés (usage à valider avec lui : finition, gel, glissance, humidité).</t>
        </is>
      </c>
      <c r="I171" s="20" t="inlineStr">
        <is>
          <t>www.aqua-system.fr</t>
        </is>
      </c>
      <c r="J171" s="15" t="inlineStr">
        <is>
          <t>01 30 42 26 00</t>
        </is>
      </c>
      <c r="K171" s="20" t="inlineStr">
        <is>
          <t>Voir</t>
        </is>
      </c>
      <c r="L171" s="21" t="inlineStr">
        <is>
          <t>À contacter</t>
        </is>
      </c>
      <c r="M171" s="21" t="n"/>
      <c r="N171" s="21" t="n"/>
      <c r="O171" s="21" t="n"/>
      <c r="P171" s="15" t="inlineStr">
        <is>
          <t>2e liste (12/10)</t>
        </is>
      </c>
    </row>
    <row r="172" ht="41.25" customHeight="1" s="13">
      <c r="A172" s="15" t="n">
        <v>171</v>
      </c>
      <c r="B172" s="15" t="inlineStr">
        <is>
          <t>Pro France</t>
        </is>
      </c>
      <c r="C172" s="15" t="n">
        <v>3</v>
      </c>
      <c r="D172" s="15" t="inlineStr">
        <is>
          <t>Showroom carrelage</t>
        </is>
      </c>
      <c r="E172" s="15" t="inlineStr">
        <is>
          <t>Art &amp; Sud Deco</t>
        </is>
      </c>
      <c r="F172" s="15" t="inlineStr">
        <is>
          <t>Paris (75014)</t>
        </is>
      </c>
      <c r="G172" s="15" t="inlineStr">
        <is>
          <t>Île-de-France</t>
        </is>
      </c>
      <c r="H172" s="15" t="inlineStr">
        <is>
          <t>Cette boutique parisienne de carrelages et dallages orientaux (zellige, bejmat) pourrait ajouter un calcaire naturel comme MINYALA à son offre de sols.</t>
        </is>
      </c>
      <c r="I172" s="15" t="n"/>
      <c r="J172" s="15" t="inlineStr">
        <is>
          <t>01 43 22 50 91</t>
        </is>
      </c>
      <c r="K172" s="20" t="inlineStr">
        <is>
          <t>Voir</t>
        </is>
      </c>
      <c r="L172" s="21" t="inlineStr">
        <is>
          <t>À contacter</t>
        </is>
      </c>
      <c r="M172" s="21" t="n"/>
      <c r="N172" s="21" t="n"/>
      <c r="O172" s="21" t="n"/>
      <c r="P172" s="15" t="inlineStr">
        <is>
          <t>2e liste (12/10)</t>
        </is>
      </c>
    </row>
    <row r="173" ht="41.25" customHeight="1" s="13">
      <c r="A173" s="15" t="n">
        <v>172</v>
      </c>
      <c r="B173" s="15" t="inlineStr">
        <is>
          <t>Pro France</t>
        </is>
      </c>
      <c r="C173" s="15" t="n">
        <v>3</v>
      </c>
      <c r="D173" s="15" t="inlineStr">
        <is>
          <t>Architecte d'intérieur</t>
        </is>
      </c>
      <c r="E173" s="15" t="inlineStr">
        <is>
          <t>Atelier Ceben</t>
        </is>
      </c>
      <c r="F173" s="15" t="inlineStr">
        <is>
          <t>Saint-Germain-en-Laye (78100)</t>
        </is>
      </c>
      <c r="G173" s="15" t="inlineStr">
        <is>
          <t>Île-de-France</t>
        </is>
      </c>
      <c r="H173" s="15" t="inlineStr">
        <is>
          <t>Ce cabinet d'architecture intérieure de Saint-Germain-en-Laye conçoit et suit des rénovations de logements et de commerces, il peut prescrire MINYALA en sol intérieur.</t>
        </is>
      </c>
      <c r="I173" s="20" t="inlineStr">
        <is>
          <t>www.atelierceben.com</t>
        </is>
      </c>
      <c r="J173" s="15" t="inlineStr">
        <is>
          <t>06 51 45 53 87</t>
        </is>
      </c>
      <c r="K173" s="20" t="inlineStr">
        <is>
          <t>Voir</t>
        </is>
      </c>
      <c r="L173" s="21" t="inlineStr">
        <is>
          <t>À contacter</t>
        </is>
      </c>
      <c r="M173" s="21" t="n"/>
      <c r="N173" s="21" t="n"/>
      <c r="O173" s="21" t="n"/>
      <c r="P173" s="15" t="inlineStr">
        <is>
          <t>2e liste (12/10)</t>
        </is>
      </c>
    </row>
    <row r="174" ht="27.75" customHeight="1" s="13">
      <c r="A174" s="15" t="n">
        <v>173</v>
      </c>
      <c r="B174" s="15" t="inlineStr">
        <is>
          <t>Pro France</t>
        </is>
      </c>
      <c r="C174" s="15" t="n">
        <v>3</v>
      </c>
      <c r="D174" s="15" t="inlineStr">
        <is>
          <t>Entreprise bâtiment</t>
        </is>
      </c>
      <c r="E174" s="15" t="inlineStr">
        <is>
          <t>Axel BTP</t>
        </is>
      </c>
      <c r="F174" s="15" t="inlineStr">
        <is>
          <t>Gennevilliers (92230)</t>
        </is>
      </c>
      <c r="G174" s="15" t="inlineStr">
        <is>
          <t>Île-de-France</t>
        </is>
      </c>
      <c r="H174" s="15" t="inlineStr">
        <is>
          <t>Entreprise de construction installée à Gennevilliers, comme votre point de retrait francilien.</t>
        </is>
      </c>
      <c r="I174" s="15" t="n"/>
      <c r="J174" s="15" t="n"/>
      <c r="K174" s="20" t="inlineStr">
        <is>
          <t>Voir</t>
        </is>
      </c>
      <c r="L174" s="21" t="inlineStr">
        <is>
          <t>À contacter</t>
        </is>
      </c>
      <c r="M174" s="21" t="n"/>
      <c r="N174" s="21" t="n"/>
      <c r="O174" s="21" t="n"/>
      <c r="P174" s="15" t="inlineStr">
        <is>
          <t>1re liste (08/10)</t>
        </is>
      </c>
    </row>
    <row r="175" ht="41.25" customHeight="1" s="13">
      <c r="A175" s="15" t="n">
        <v>174</v>
      </c>
      <c r="B175" s="15" t="inlineStr">
        <is>
          <t>Pro France</t>
        </is>
      </c>
      <c r="C175" s="15" t="n">
        <v>3</v>
      </c>
      <c r="D175" s="15" t="inlineStr">
        <is>
          <t>Paysagiste</t>
        </is>
      </c>
      <c r="E175" s="15" t="inlineStr">
        <is>
          <t>Balcoon</t>
        </is>
      </c>
      <c r="F175" s="15" t="inlineStr">
        <is>
          <t>Paris (75011)</t>
        </is>
      </c>
      <c r="G175" s="15" t="inlineStr">
        <is>
          <t>Île-de-France</t>
        </is>
      </c>
      <c r="H175" s="15" t="inlineStr">
        <is>
          <t>Cet atelier parisien aménage des terrasses d'hôtels, des rooftops et des terrasses de particuliers, et cite la pierre naturelle parmi ses revêtements : il peut prescrire MINYALA.</t>
        </is>
      </c>
      <c r="I175" s="20" t="inlineStr">
        <is>
          <t>balcoon.fr</t>
        </is>
      </c>
      <c r="J175" s="15" t="inlineStr">
        <is>
          <t>0 808 806 250</t>
        </is>
      </c>
      <c r="K175" s="20" t="inlineStr">
        <is>
          <t>Voir</t>
        </is>
      </c>
      <c r="L175" s="21" t="inlineStr">
        <is>
          <t>À contacter</t>
        </is>
      </c>
      <c r="M175" s="21" t="n"/>
      <c r="N175" s="21" t="n"/>
      <c r="O175" s="21" t="n"/>
      <c r="P175" s="15" t="inlineStr">
        <is>
          <t>2e liste (12/10)</t>
        </is>
      </c>
    </row>
    <row r="176" ht="41.25" customHeight="1" s="13">
      <c r="A176" s="15" t="n">
        <v>175</v>
      </c>
      <c r="B176" s="15" t="inlineStr">
        <is>
          <t>Pro France</t>
        </is>
      </c>
      <c r="C176" s="15" t="n">
        <v>3</v>
      </c>
      <c r="D176" s="15" t="inlineStr">
        <is>
          <t>Rénovation haut de gamme</t>
        </is>
      </c>
      <c r="E176" s="15" t="inlineStr">
        <is>
          <t>Belmard Bâtiment</t>
        </is>
      </c>
      <c r="F176" s="15" t="inlineStr">
        <is>
          <t>Paris (75020)</t>
        </is>
      </c>
      <c r="G176" s="15" t="inlineStr">
        <is>
          <t>Île-de-France</t>
        </is>
      </c>
      <c r="H176" s="15" t="inlineStr">
        <is>
          <t>Cette entreprise de rénovation haut de gamme parisienne refait les sols d'appartements de standing, elle pourrait y poser MINYALA en sol intérieur.</t>
        </is>
      </c>
      <c r="I176" s="20" t="inlineStr">
        <is>
          <t>www.belmard-batiment.fr</t>
        </is>
      </c>
      <c r="J176" s="15" t="inlineStr">
        <is>
          <t>01 70 94 98 06</t>
        </is>
      </c>
      <c r="K176" s="20" t="inlineStr">
        <is>
          <t>Voir</t>
        </is>
      </c>
      <c r="L176" s="21" t="inlineStr">
        <is>
          <t>À contacter</t>
        </is>
      </c>
      <c r="M176" s="21" t="n"/>
      <c r="N176" s="21" t="n"/>
      <c r="O176" s="21" t="n"/>
      <c r="P176" s="15" t="inlineStr">
        <is>
          <t>2e liste (12/10)</t>
        </is>
      </c>
    </row>
    <row r="177" ht="41.25" customHeight="1" s="13">
      <c r="A177" s="15" t="n">
        <v>176</v>
      </c>
      <c r="B177" s="15" t="inlineStr">
        <is>
          <t>Pro France</t>
        </is>
      </c>
      <c r="C177" s="15" t="n">
        <v>3</v>
      </c>
      <c r="D177" s="15" t="inlineStr">
        <is>
          <t>Rénovation haut de gamme</t>
        </is>
      </c>
      <c r="E177" s="15" t="inlineStr">
        <is>
          <t>Benebatti</t>
        </is>
      </c>
      <c r="F177" s="15" t="inlineStr">
        <is>
          <t>Bougival (78380)</t>
        </is>
      </c>
      <c r="G177" s="15" t="inlineStr">
        <is>
          <t>Île-de-France</t>
        </is>
      </c>
      <c r="H177" s="15" t="inlineStr">
        <is>
          <t>Entreprise d'extensions et de rénovations haut de gamme dans le 78 et le 92, qui fait aussi de la maçonnerie en pierre : elle pourrait prescrire MINYALA pour les sols et terrasses de ses chantiers.</t>
        </is>
      </c>
      <c r="I177" s="20" t="inlineStr">
        <is>
          <t>www.benebatti.fr</t>
        </is>
      </c>
      <c r="J177" s="15" t="inlineStr">
        <is>
          <t>01 85 39 00 87</t>
        </is>
      </c>
      <c r="K177" s="20" t="inlineStr">
        <is>
          <t>Voir</t>
        </is>
      </c>
      <c r="L177" s="21" t="inlineStr">
        <is>
          <t>À contacter</t>
        </is>
      </c>
      <c r="M177" s="21" t="n"/>
      <c r="N177" s="21" t="n"/>
      <c r="O177" s="21" t="n"/>
      <c r="P177" s="15" t="inlineStr">
        <is>
          <t>3e liste (12/10)</t>
        </is>
      </c>
    </row>
    <row r="178" ht="41.25" customHeight="1" s="13">
      <c r="A178" s="15" t="n">
        <v>177</v>
      </c>
      <c r="B178" s="15" t="inlineStr">
        <is>
          <t>Pro France</t>
        </is>
      </c>
      <c r="C178" s="15" t="n">
        <v>3</v>
      </c>
      <c r="D178" s="15" t="inlineStr">
        <is>
          <t>Architecte d'intérieur</t>
        </is>
      </c>
      <c r="E178" s="15" t="inlineStr">
        <is>
          <t>D+B Interior Design Studio</t>
        </is>
      </c>
      <c r="F178" s="15" t="inlineStr">
        <is>
          <t>Paris</t>
        </is>
      </c>
      <c r="G178" s="15" t="inlineStr">
        <is>
          <t>Île-de-France</t>
        </is>
      </c>
      <c r="H178" s="15" t="inlineStr">
        <is>
          <t>Cette agence parisienne aménage hôtels, boutique-hôtels et restaurants, jusqu'à Honfleur : elle peut prescrire de gros volumes de pierre pour des sols.</t>
        </is>
      </c>
      <c r="I178" s="15" t="n"/>
      <c r="J178" s="15" t="n"/>
      <c r="K178" s="20" t="inlineStr">
        <is>
          <t>Voir</t>
        </is>
      </c>
      <c r="L178" s="21" t="inlineStr">
        <is>
          <t>À contacter</t>
        </is>
      </c>
      <c r="M178" s="21" t="n"/>
      <c r="N178" s="21" t="n"/>
      <c r="O178" s="21" t="n"/>
      <c r="P178" s="15" t="inlineStr">
        <is>
          <t>2e liste (12/10)</t>
        </is>
      </c>
    </row>
    <row r="179" ht="41.25" customHeight="1" s="13">
      <c r="A179" s="15" t="n">
        <v>178</v>
      </c>
      <c r="B179" s="15" t="inlineStr">
        <is>
          <t>Pro France</t>
        </is>
      </c>
      <c r="C179" s="15" t="n">
        <v>3</v>
      </c>
      <c r="D179" s="15" t="inlineStr">
        <is>
          <t>Paysagiste</t>
        </is>
      </c>
      <c r="E179" s="15" t="inlineStr">
        <is>
          <t>Duhamel Paysagiste</t>
        </is>
      </c>
      <c r="F179" s="15" t="inlineStr">
        <is>
          <t>Le Pin (77181)</t>
        </is>
      </c>
      <c r="G179" s="15" t="inlineStr">
        <is>
          <t>Île-de-France</t>
        </is>
      </c>
      <c r="H179" s="15" t="inlineStr">
        <is>
          <t>Paysagiste du nord de la Seine-et-Marne qui propose des terrasses et allées en dallage de pierre naturelle, il pourrait utiliser MINYALA pour ses terrasses et allées.</t>
        </is>
      </c>
      <c r="I179" s="20" t="inlineStr">
        <is>
          <t>duhamel-paysagiste.fr</t>
        </is>
      </c>
      <c r="J179" s="15" t="inlineStr">
        <is>
          <t>01 60 27 12 84</t>
        </is>
      </c>
      <c r="K179" s="20" t="inlineStr">
        <is>
          <t>Voir</t>
        </is>
      </c>
      <c r="L179" s="21" t="inlineStr">
        <is>
          <t>À contacter</t>
        </is>
      </c>
      <c r="M179" s="21" t="n"/>
      <c r="N179" s="21" t="n"/>
      <c r="O179" s="21" t="n"/>
      <c r="P179" s="15" t="inlineStr">
        <is>
          <t>3e liste (12/10)</t>
        </is>
      </c>
    </row>
    <row r="180" ht="54.75" customHeight="1" s="13">
      <c r="A180" s="15" t="n">
        <v>179</v>
      </c>
      <c r="B180" s="15" t="inlineStr">
        <is>
          <t>Pro France</t>
        </is>
      </c>
      <c r="C180" s="15" t="n">
        <v>3</v>
      </c>
      <c r="D180" s="15" t="inlineStr">
        <is>
          <t>Constructeur de maisons</t>
        </is>
      </c>
      <c r="E180" s="15" t="inlineStr">
        <is>
          <t>France-Maisons-idf</t>
        </is>
      </c>
      <c r="F180" s="15" t="inlineStr">
        <is>
          <t>Grosrouvre (78490)</t>
        </is>
      </c>
      <c r="G180" s="15" t="inlineStr">
        <is>
          <t>Île-de-France</t>
        </is>
      </c>
      <c r="H180" s="15" t="inlineStr">
        <is>
          <t>Constructeur familial de maisons sur mesure haut de gamme dans l'ouest francilien, dont des maisons avec piscine et terrasse : MINYALA pourrait convenir à leurs sols et extérieurs (usage à valider avec lui : finition, gel, glissance, humidité).</t>
        </is>
      </c>
      <c r="I180" s="20" t="inlineStr">
        <is>
          <t>www.francemaisons-idf.com</t>
        </is>
      </c>
      <c r="J180" s="15" t="inlineStr">
        <is>
          <t>06 08 13 39 98</t>
        </is>
      </c>
      <c r="K180" s="20" t="inlineStr">
        <is>
          <t>Voir</t>
        </is>
      </c>
      <c r="L180" s="21" t="inlineStr">
        <is>
          <t>À contacter</t>
        </is>
      </c>
      <c r="M180" s="21" t="n"/>
      <c r="N180" s="21" t="n"/>
      <c r="O180" s="21" t="n"/>
      <c r="P180" s="15" t="inlineStr">
        <is>
          <t>3e liste (12/10)</t>
        </is>
      </c>
    </row>
    <row r="181" ht="41.25" customHeight="1" s="13">
      <c r="A181" s="15" t="n">
        <v>180</v>
      </c>
      <c r="B181" s="15" t="inlineStr">
        <is>
          <t>Pro France</t>
        </is>
      </c>
      <c r="C181" s="15" t="n">
        <v>3</v>
      </c>
      <c r="D181" s="15" t="inlineStr">
        <is>
          <t>Rénovation haut de gamme</t>
        </is>
      </c>
      <c r="E181" s="15" t="inlineStr">
        <is>
          <t>Franpierre</t>
        </is>
      </c>
      <c r="F181" s="15" t="inlineStr">
        <is>
          <t>Herblay-sur-Seine (95220)</t>
        </is>
      </c>
      <c r="G181" s="15" t="inlineStr">
        <is>
          <t>Île-de-France</t>
        </is>
      </c>
      <c r="H181" s="15" t="inlineStr">
        <is>
          <t>Cette entreprise de rénovation tous corps d'état du 95 et du 78 construit des terrasses et pose des revêtements de sol, donc elle peut acheter MINYALA pour ses chantiers.</t>
        </is>
      </c>
      <c r="I181" s="20" t="inlineStr">
        <is>
          <t>www.franpierre-herblay.fr</t>
        </is>
      </c>
      <c r="J181" s="15" t="inlineStr">
        <is>
          <t>01 39 60 69 19</t>
        </is>
      </c>
      <c r="K181" s="20" t="inlineStr">
        <is>
          <t>Voir</t>
        </is>
      </c>
      <c r="L181" s="21" t="inlineStr">
        <is>
          <t>À contacter</t>
        </is>
      </c>
      <c r="M181" s="21" t="n"/>
      <c r="N181" s="21" t="n"/>
      <c r="O181" s="21" t="n"/>
      <c r="P181" s="15" t="inlineStr">
        <is>
          <t>2e liste (12/10)</t>
        </is>
      </c>
    </row>
    <row r="182" ht="54.75" customHeight="1" s="13">
      <c r="A182" s="15" t="n">
        <v>181</v>
      </c>
      <c r="B182" s="15" t="inlineStr">
        <is>
          <t>Pro France</t>
        </is>
      </c>
      <c r="C182" s="15" t="n">
        <v>3</v>
      </c>
      <c r="D182" s="15" t="inlineStr">
        <is>
          <t>Spa / hammam</t>
        </is>
      </c>
      <c r="E182" s="15" t="inlineStr">
        <is>
          <t>Henocque Piscines et Spas (boutique de L'Isle-Adam)</t>
        </is>
      </c>
      <c r="F182" s="15" t="inlineStr">
        <is>
          <t>L'Isle-Adam (95290)</t>
        </is>
      </c>
      <c r="G182" s="15" t="inlineStr">
        <is>
          <t>Île-de-France</t>
        </is>
      </c>
      <c r="H182" s="15" t="inlineStr">
        <is>
          <t>Pisciniste familial du Val-d'Oise qui construit des piscines avec plage et installe saunas et hammams, il pourrait utiliser MINYALA pour les plages et abords de ses bassins (usage à valider avec lui : finition, gel, glissance, humidité).</t>
        </is>
      </c>
      <c r="I182" s="20" t="inlineStr">
        <is>
          <t>www.henocquepiscines.fr</t>
        </is>
      </c>
      <c r="J182" s="15" t="inlineStr">
        <is>
          <t>06 14 13 31 11</t>
        </is>
      </c>
      <c r="K182" s="20" t="inlineStr">
        <is>
          <t>Voir</t>
        </is>
      </c>
      <c r="L182" s="21" t="inlineStr">
        <is>
          <t>À contacter</t>
        </is>
      </c>
      <c r="M182" s="21" t="n"/>
      <c r="N182" s="21" t="n"/>
      <c r="O182" s="21" t="n"/>
      <c r="P182" s="15" t="inlineStr">
        <is>
          <t>3e liste (12/10)</t>
        </is>
      </c>
    </row>
    <row r="183" ht="41.25" customHeight="1" s="13">
      <c r="A183" s="15" t="n">
        <v>182</v>
      </c>
      <c r="B183" s="15" t="inlineStr">
        <is>
          <t>Pro France</t>
        </is>
      </c>
      <c r="C183" s="15" t="n">
        <v>3</v>
      </c>
      <c r="D183" s="15" t="inlineStr">
        <is>
          <t>Paysagiste</t>
        </is>
      </c>
      <c r="E183" s="15" t="inlineStr">
        <is>
          <t>Jardins de l'Orangerie</t>
        </is>
      </c>
      <c r="F183" s="15" t="inlineStr">
        <is>
          <t>Montmorency (95160)</t>
        </is>
      </c>
      <c r="G183" s="15" t="inlineStr">
        <is>
          <t>Île-de-France</t>
        </is>
      </c>
      <c r="H183" s="15" t="inlineStr">
        <is>
          <t>Ce paysagiste certifié Qualipaysage fait du dallage et des terrasses dans le Val-d'Oise : il pourrait utiliser MINYALA pour ses créations de jardins.</t>
        </is>
      </c>
      <c r="I183" s="20" t="inlineStr">
        <is>
          <t>www.jardinsdelorangerie.com/jardins-orangerie-montmorency</t>
        </is>
      </c>
      <c r="J183" s="15" t="inlineStr">
        <is>
          <t>01 34 12 40 98</t>
        </is>
      </c>
      <c r="K183" s="20" t="inlineStr">
        <is>
          <t>Voir</t>
        </is>
      </c>
      <c r="L183" s="21" t="inlineStr">
        <is>
          <t>À contacter</t>
        </is>
      </c>
      <c r="M183" s="21" t="n"/>
      <c r="N183" s="21" t="n"/>
      <c r="O183" s="21" t="n"/>
      <c r="P183" s="15" t="inlineStr">
        <is>
          <t>2e liste (12/10)</t>
        </is>
      </c>
    </row>
    <row r="184" ht="41.25" customHeight="1" s="13">
      <c r="A184" s="15" t="n">
        <v>183</v>
      </c>
      <c r="B184" s="15" t="inlineStr">
        <is>
          <t>Pro France</t>
        </is>
      </c>
      <c r="C184" s="15" t="n">
        <v>3</v>
      </c>
      <c r="D184" s="15" t="inlineStr">
        <is>
          <t>Paysagiste</t>
        </is>
      </c>
      <c r="E184" s="15" t="inlineStr">
        <is>
          <t>Les Paysages Vivants</t>
        </is>
      </c>
      <c r="F184" s="15" t="inlineStr">
        <is>
          <t>Vélizy-Villacoublay (78140)</t>
        </is>
      </c>
      <c r="G184" s="15" t="inlineStr">
        <is>
          <t>Île-de-France</t>
        </is>
      </c>
      <c r="H184" s="15" t="inlineStr">
        <is>
          <t>Paysagiste près de Versailles qui fait du dallage de jardin et des terrasses : MINYALA pourrait lui servir pour des allées et terrasses dallées.</t>
        </is>
      </c>
      <c r="I184" s="15" t="n"/>
      <c r="J184" s="15" t="n"/>
      <c r="K184" s="20" t="inlineStr">
        <is>
          <t>Voir</t>
        </is>
      </c>
      <c r="L184" s="21" t="inlineStr">
        <is>
          <t>À contacter</t>
        </is>
      </c>
      <c r="M184" s="21" t="n"/>
      <c r="N184" s="21" t="n"/>
      <c r="O184" s="21" t="n"/>
      <c r="P184" s="15" t="inlineStr">
        <is>
          <t>3e liste (12/10)</t>
        </is>
      </c>
    </row>
    <row r="185" ht="41.25" customHeight="1" s="13">
      <c r="A185" s="15" t="n">
        <v>184</v>
      </c>
      <c r="B185" s="15" t="inlineStr">
        <is>
          <t>Pro France</t>
        </is>
      </c>
      <c r="C185" s="15" t="n">
        <v>3</v>
      </c>
      <c r="D185" s="15" t="inlineStr">
        <is>
          <t>Architecte d'intérieur</t>
        </is>
      </c>
      <c r="E185" s="15" t="inlineStr">
        <is>
          <t>MERSI Architecture</t>
        </is>
      </c>
      <c r="F185" s="15" t="inlineStr">
        <is>
          <t>Paris</t>
        </is>
      </c>
      <c r="G185" s="15" t="inlineStr">
        <is>
          <t>Île-de-France</t>
        </is>
      </c>
      <c r="H185" s="15" t="inlineStr">
        <is>
          <t>Ce studio parisien d'architecture intérieure conçoit des restaurants, des cafés et des boutiques au style « quiet luxury », et peut prescrire MINYALA en sol.</t>
        </is>
      </c>
      <c r="I185" s="20" t="inlineStr">
        <is>
          <t>www.mersi-architecture.com</t>
        </is>
      </c>
      <c r="J185" s="15" t="n"/>
      <c r="K185" s="20" t="inlineStr">
        <is>
          <t>Voir</t>
        </is>
      </c>
      <c r="L185" s="21" t="inlineStr">
        <is>
          <t>À contacter</t>
        </is>
      </c>
      <c r="M185" s="21" t="n"/>
      <c r="N185" s="21" t="n"/>
      <c r="O185" s="21" t="n"/>
      <c r="P185" s="15" t="inlineStr">
        <is>
          <t>2e liste (12/10)</t>
        </is>
      </c>
    </row>
    <row r="186" ht="41.25" customHeight="1" s="13">
      <c r="A186" s="15" t="n">
        <v>185</v>
      </c>
      <c r="B186" s="15" t="inlineStr">
        <is>
          <t>Pro France</t>
        </is>
      </c>
      <c r="C186" s="15" t="n">
        <v>3</v>
      </c>
      <c r="D186" s="15" t="inlineStr">
        <is>
          <t>Maître d'œuvre</t>
        </is>
      </c>
      <c r="E186" s="15" t="inlineStr">
        <is>
          <t>Maisons Serge Gautier</t>
        </is>
      </c>
      <c r="F186" s="15" t="inlineStr">
        <is>
          <t>Saint-Prix (95390)</t>
        </is>
      </c>
      <c r="G186" s="15" t="inlineStr">
        <is>
          <t>Île-de-France</t>
        </is>
      </c>
      <c r="H186" s="15" t="inlineStr">
        <is>
          <t>Maître d'œuvre qui construit et restaure des maisons de caractère en soignant le choix des carrelages et des matériaux, il pourrait prescrire un calcaire naturel comme MINYALA pour les sols intérieurs.</t>
        </is>
      </c>
      <c r="I186" s="20" t="inlineStr">
        <is>
          <t>www.serge-gautier.com</t>
        </is>
      </c>
      <c r="J186" s="15" t="inlineStr">
        <is>
          <t>01 34 16 64 17</t>
        </is>
      </c>
      <c r="K186" s="20" t="inlineStr">
        <is>
          <t>Voir</t>
        </is>
      </c>
      <c r="L186" s="21" t="inlineStr">
        <is>
          <t>À contacter</t>
        </is>
      </c>
      <c r="M186" s="21" t="n"/>
      <c r="N186" s="21" t="n"/>
      <c r="O186" s="21" t="n"/>
      <c r="P186" s="15" t="inlineStr">
        <is>
          <t>3e liste (12/10)</t>
        </is>
      </c>
    </row>
    <row r="187" ht="41.25" customHeight="1" s="13">
      <c r="A187" s="15" t="n">
        <v>186</v>
      </c>
      <c r="B187" s="15" t="inlineStr">
        <is>
          <t>Pro France</t>
        </is>
      </c>
      <c r="C187" s="15" t="n">
        <v>3</v>
      </c>
      <c r="D187" s="15" t="inlineStr">
        <is>
          <t>Marbrerie</t>
        </is>
      </c>
      <c r="E187" s="15" t="inlineStr">
        <is>
          <t>Marbrerie de Vitry (Exploit Marbrerie Vitry)</t>
        </is>
      </c>
      <c r="F187" s="15" t="inlineStr">
        <is>
          <t>Choisy-le-Roi (94600)</t>
        </is>
      </c>
      <c r="G187" s="15" t="inlineStr">
        <is>
          <t>Île-de-France</t>
        </is>
      </c>
      <c r="H187" s="15" t="inlineStr">
        <is>
          <t>Marbrerie historique fondée en 1925, qui fabrique, pose et rénove marbre et pierre, dallages compris, pour l'aménagement haut de gamme : MINYALA pourrait servir à ses projets de sols.</t>
        </is>
      </c>
      <c r="I187" s="20" t="inlineStr">
        <is>
          <t>www.marbreriedevitry.fr</t>
        </is>
      </c>
      <c r="J187" s="15" t="inlineStr">
        <is>
          <t>01 46 80 28 64</t>
        </is>
      </c>
      <c r="K187" s="20" t="inlineStr">
        <is>
          <t>Voir</t>
        </is>
      </c>
      <c r="L187" s="21" t="inlineStr">
        <is>
          <t>À contacter</t>
        </is>
      </c>
      <c r="M187" s="21" t="n"/>
      <c r="N187" s="21" t="n"/>
      <c r="O187" s="21" t="n"/>
      <c r="P187" s="15" t="inlineStr">
        <is>
          <t>3e liste (12/10)</t>
        </is>
      </c>
    </row>
    <row r="188" ht="41.25" customHeight="1" s="13">
      <c r="A188" s="15" t="n">
        <v>187</v>
      </c>
      <c r="B188" s="15" t="inlineStr">
        <is>
          <t>Pro France</t>
        </is>
      </c>
      <c r="C188" s="15" t="n">
        <v>3</v>
      </c>
      <c r="D188" s="15" t="inlineStr">
        <is>
          <t>Paysagiste</t>
        </is>
      </c>
      <c r="E188" s="15" t="inlineStr">
        <is>
          <t>Natur'O Paysages</t>
        </is>
      </c>
      <c r="F188" s="15" t="inlineStr">
        <is>
          <t>Sonchamp (78120)</t>
        </is>
      </c>
      <c r="G188" s="15" t="inlineStr">
        <is>
          <t>Île-de-France</t>
        </is>
      </c>
      <c r="H188" s="15" t="inlineStr">
        <is>
          <t>Paysagiste du secteur de Rambouillet qui crée des terrasses en dalles, souvent en pierre naturelle : MINYALA pourrait entrer dans son offre de dallage.</t>
        </is>
      </c>
      <c r="I188" s="20" t="inlineStr">
        <is>
          <t>www.naturo-paysages.fr</t>
        </is>
      </c>
      <c r="J188" s="15" t="inlineStr">
        <is>
          <t>01 34 84 42 21</t>
        </is>
      </c>
      <c r="K188" s="20" t="inlineStr">
        <is>
          <t>Voir</t>
        </is>
      </c>
      <c r="L188" s="21" t="inlineStr">
        <is>
          <t>À contacter</t>
        </is>
      </c>
      <c r="M188" s="21" t="n"/>
      <c r="N188" s="21" t="n"/>
      <c r="O188" s="21" t="n"/>
      <c r="P188" s="15" t="inlineStr">
        <is>
          <t>3e liste (12/10)</t>
        </is>
      </c>
    </row>
    <row r="189" ht="54.75" customHeight="1" s="13">
      <c r="A189" s="15" t="n">
        <v>188</v>
      </c>
      <c r="B189" s="15" t="inlineStr">
        <is>
          <t>Pro France</t>
        </is>
      </c>
      <c r="C189" s="15" t="n">
        <v>3</v>
      </c>
      <c r="D189" s="15" t="inlineStr">
        <is>
          <t>Pisciniste</t>
        </is>
      </c>
      <c r="E189" s="15" t="inlineStr">
        <is>
          <t>Océa</t>
        </is>
      </c>
      <c r="F189" s="15" t="inlineStr">
        <is>
          <t>Crécy-la-Chapelle (77580)</t>
        </is>
      </c>
      <c r="G189" s="15" t="inlineStr">
        <is>
          <t>Île-de-France</t>
        </is>
      </c>
      <c r="H189" s="15" t="inlineStr">
        <is>
          <t>Constructeur seine-et-marnais de piscines béton et d'espaces bien-être (spas, saunas, hammams) : MINYALA pourrait servir pour les abords de bassin et les sols de ses espaces détente (usage à valider avec lui : finition, gel, glissance, humidité).</t>
        </is>
      </c>
      <c r="I189" s="20" t="inlineStr">
        <is>
          <t>www.oceapiscine.fr</t>
        </is>
      </c>
      <c r="J189" s="15" t="inlineStr">
        <is>
          <t>01 64 63 08 62</t>
        </is>
      </c>
      <c r="K189" s="20" t="inlineStr">
        <is>
          <t>Voir</t>
        </is>
      </c>
      <c r="L189" s="21" t="inlineStr">
        <is>
          <t>À contacter</t>
        </is>
      </c>
      <c r="M189" s="21" t="n"/>
      <c r="N189" s="21" t="n"/>
      <c r="O189" s="21" t="n"/>
      <c r="P189" s="15" t="inlineStr">
        <is>
          <t>3e liste (12/10)</t>
        </is>
      </c>
    </row>
    <row r="190" ht="41.25" customHeight="1" s="13">
      <c r="A190" s="15" t="n">
        <v>189</v>
      </c>
      <c r="B190" s="15" t="inlineStr">
        <is>
          <t>Pro France</t>
        </is>
      </c>
      <c r="C190" s="15" t="n">
        <v>3</v>
      </c>
      <c r="D190" s="15" t="inlineStr">
        <is>
          <t>Marbrerie</t>
        </is>
      </c>
      <c r="E190" s="15" t="inlineStr">
        <is>
          <t>Omillimetre</t>
        </is>
      </c>
      <c r="F190" s="15" t="inlineStr">
        <is>
          <t>Bondoufle (91070)</t>
        </is>
      </c>
      <c r="G190" s="15" t="inlineStr">
        <is>
          <t>Île-de-France</t>
        </is>
      </c>
      <c r="H190" s="15" t="inlineStr">
        <is>
          <t>Marbrerie-graniterie qui fait de l'agencement d'hôtel et de l'agencement haut de gamme, MINYALA pourrait convenir à ses projets de sols et de salles de bains.</t>
        </is>
      </c>
      <c r="I190" s="15" t="n"/>
      <c r="J190" s="15" t="n"/>
      <c r="K190" s="20" t="inlineStr">
        <is>
          <t>Voir</t>
        </is>
      </c>
      <c r="L190" s="21" t="inlineStr">
        <is>
          <t>À contacter</t>
        </is>
      </c>
      <c r="M190" s="21" t="n"/>
      <c r="N190" s="21" t="n"/>
      <c r="O190" s="21" t="n"/>
      <c r="P190" s="15" t="inlineStr">
        <is>
          <t>3e liste (12/10)</t>
        </is>
      </c>
    </row>
    <row r="191" ht="54.75" customHeight="1" s="13">
      <c r="A191" s="15" t="n">
        <v>190</v>
      </c>
      <c r="B191" s="15" t="inlineStr">
        <is>
          <t>Pro France</t>
        </is>
      </c>
      <c r="C191" s="15" t="n">
        <v>3</v>
      </c>
      <c r="D191" s="15" t="inlineStr">
        <is>
          <t>Pisciniste</t>
        </is>
      </c>
      <c r="E191" s="15" t="inlineStr">
        <is>
          <t>Ouest Piscines Services (OPS)</t>
        </is>
      </c>
      <c r="F191" s="15" t="inlineStr">
        <is>
          <t>Croissy-sur-Seine (78290)</t>
        </is>
      </c>
      <c r="G191" s="15" t="inlineStr">
        <is>
          <t>Île-de-France</t>
        </is>
      </c>
      <c r="H191" s="15" t="inlineStr">
        <is>
          <t>Ce pisciniste de Croissy-sur-Seine, qui construit et rénove des bassins dans le 78, le 92 et le 95, peut proposer MINYALA en margelles et en plages lors de ses chantiers (usage à valider avec lui : finition, gel, glissance, humidité).</t>
        </is>
      </c>
      <c r="I191" s="20" t="inlineStr">
        <is>
          <t>www.ops-ouestpiscines.fr</t>
        </is>
      </c>
      <c r="J191" s="15" t="inlineStr">
        <is>
          <t>01 39 73 53 74</t>
        </is>
      </c>
      <c r="K191" s="20" t="inlineStr">
        <is>
          <t>Voir</t>
        </is>
      </c>
      <c r="L191" s="21" t="inlineStr">
        <is>
          <t>À contacter</t>
        </is>
      </c>
      <c r="M191" s="21" t="n"/>
      <c r="N191" s="21" t="n"/>
      <c r="O191" s="21" t="n"/>
      <c r="P191" s="15" t="inlineStr">
        <is>
          <t>2e liste (12/10)</t>
        </is>
      </c>
    </row>
    <row r="192" ht="27.75" customHeight="1" s="13">
      <c r="A192" s="15" t="n">
        <v>191</v>
      </c>
      <c r="B192" s="15" t="inlineStr">
        <is>
          <t>Pro France</t>
        </is>
      </c>
      <c r="C192" s="15" t="n">
        <v>3</v>
      </c>
      <c r="D192" s="15" t="inlineStr">
        <is>
          <t>Paysagiste</t>
        </is>
      </c>
      <c r="E192" s="15" t="inlineStr">
        <is>
          <t>Pro Vert</t>
        </is>
      </c>
      <c r="F192" s="15" t="inlineStr">
        <is>
          <t>Versailles (78000)</t>
        </is>
      </c>
      <c r="G192" s="15" t="inlineStr">
        <is>
          <t>Île-de-France</t>
        </is>
      </c>
      <c r="H192" s="15" t="inlineStr">
        <is>
          <t>Paysagiste versaillais qui pose des terrasses et allées en dalles de pierre naturelle : MINYALA pourrait lui servir pour ces chantiers.</t>
        </is>
      </c>
      <c r="I192" s="20" t="inlineStr">
        <is>
          <t>www.paysagiste-pro-vert.fr</t>
        </is>
      </c>
      <c r="J192" s="15" t="inlineStr">
        <is>
          <t>01 30 43 56 77</t>
        </is>
      </c>
      <c r="K192" s="20" t="inlineStr">
        <is>
          <t>Voir</t>
        </is>
      </c>
      <c r="L192" s="21" t="inlineStr">
        <is>
          <t>À contacter</t>
        </is>
      </c>
      <c r="M192" s="21" t="n"/>
      <c r="N192" s="21" t="n"/>
      <c r="O192" s="21" t="n"/>
      <c r="P192" s="15" t="inlineStr">
        <is>
          <t>3e liste (12/10)</t>
        </is>
      </c>
    </row>
    <row r="193" ht="41.25" customHeight="1" s="13">
      <c r="A193" s="15" t="n">
        <v>192</v>
      </c>
      <c r="B193" s="15" t="inlineStr">
        <is>
          <t>Pro France</t>
        </is>
      </c>
      <c r="C193" s="15" t="n">
        <v>3</v>
      </c>
      <c r="D193" s="15" t="inlineStr">
        <is>
          <t>Marbrerie</t>
        </is>
      </c>
      <c r="E193" s="15" t="inlineStr">
        <is>
          <t>Real Marbre</t>
        </is>
      </c>
      <c r="F193" s="15" t="inlineStr">
        <is>
          <t>Paris (75001)</t>
        </is>
      </c>
      <c r="G193" s="15" t="inlineStr">
        <is>
          <t>Île-de-France</t>
        </is>
      </c>
      <c r="H193" s="15" t="inlineStr">
        <is>
          <t>Cette marbrerie de luxe pose des dallages sur mesure dans des palaces et des boutiques, et peut proposer MINYALA pour des projets hôteliers ou commerciaux.</t>
        </is>
      </c>
      <c r="I193" s="20" t="inlineStr">
        <is>
          <t>real-marbre.com</t>
        </is>
      </c>
      <c r="J193" s="15" t="inlineStr">
        <is>
          <t>01 42 61 84 00</t>
        </is>
      </c>
      <c r="K193" s="20" t="inlineStr">
        <is>
          <t>Voir</t>
        </is>
      </c>
      <c r="L193" s="21" t="inlineStr">
        <is>
          <t>À contacter</t>
        </is>
      </c>
      <c r="M193" s="21" t="n"/>
      <c r="N193" s="21" t="n"/>
      <c r="O193" s="21" t="n"/>
      <c r="P193" s="15" t="inlineStr">
        <is>
          <t>2e liste (12/10)</t>
        </is>
      </c>
    </row>
    <row r="194" ht="41.25" customHeight="1" s="13">
      <c r="A194" s="15" t="n">
        <v>193</v>
      </c>
      <c r="B194" s="15" t="inlineStr">
        <is>
          <t>Pro France</t>
        </is>
      </c>
      <c r="C194" s="15" t="n">
        <v>3</v>
      </c>
      <c r="D194" s="15" t="inlineStr">
        <is>
          <t>Paysagiste</t>
        </is>
      </c>
      <c r="E194" s="15" t="inlineStr">
        <is>
          <t>Réflexe paysage</t>
        </is>
      </c>
      <c r="F194" s="15" t="inlineStr">
        <is>
          <t>Croissy-sur-Seine (78290)</t>
        </is>
      </c>
      <c r="G194" s="15" t="inlineStr">
        <is>
          <t>Île-de-France</t>
        </is>
      </c>
      <c r="H194" s="15" t="inlineStr">
        <is>
          <t>Ce paysagiste de Croissy-sur-Seine réalise maçonnerie paysagère, terrasses et dallages de jardin, des chantiers où MINYALA peut être posé.</t>
        </is>
      </c>
      <c r="I194" s="15" t="n"/>
      <c r="J194" s="15" t="n"/>
      <c r="K194" s="20" t="inlineStr">
        <is>
          <t>Voir</t>
        </is>
      </c>
      <c r="L194" s="21" t="inlineStr">
        <is>
          <t>À contacter</t>
        </is>
      </c>
      <c r="M194" s="21" t="n"/>
      <c r="N194" s="21" t="n"/>
      <c r="O194" s="21" t="n"/>
      <c r="P194" s="15" t="inlineStr">
        <is>
          <t>2e liste (12/10)</t>
        </is>
      </c>
    </row>
    <row r="195" ht="41.25" customHeight="1" s="13">
      <c r="A195" s="15" t="n">
        <v>194</v>
      </c>
      <c r="B195" s="15" t="inlineStr">
        <is>
          <t>Pro France</t>
        </is>
      </c>
      <c r="C195" s="15" t="n">
        <v>3</v>
      </c>
      <c r="D195" s="15" t="inlineStr">
        <is>
          <t>Carreleur / poseur pierre</t>
        </is>
      </c>
      <c r="E195" s="15" t="inlineStr">
        <is>
          <t>SGC - Saint Georges Carrelage</t>
        </is>
      </c>
      <c r="F195" s="15" t="inlineStr">
        <is>
          <t>Villeneuve-Saint-Georges (94190)</t>
        </is>
      </c>
      <c r="G195" s="15" t="inlineStr">
        <is>
          <t>Île-de-France</t>
        </is>
      </c>
      <c r="H195" s="15" t="inlineStr">
        <is>
          <t>Ce carreleur du Val-de-Marne pose des dallages en pierre naturelle et des plages de piscine, donc il peut être un client direct pour MINYALA (usage à valider avec lui : finition, gel, glissance, humidité).</t>
        </is>
      </c>
      <c r="I195" s="15" t="n"/>
      <c r="J195" s="15" t="n"/>
      <c r="K195" s="20" t="inlineStr">
        <is>
          <t>Voir</t>
        </is>
      </c>
      <c r="L195" s="21" t="inlineStr">
        <is>
          <t>À contacter</t>
        </is>
      </c>
      <c r="M195" s="21" t="n"/>
      <c r="N195" s="21" t="n"/>
      <c r="O195" s="21" t="n"/>
      <c r="P195" s="15" t="inlineStr">
        <is>
          <t>2e liste (12/10)</t>
        </is>
      </c>
    </row>
    <row r="196" ht="41.25" customHeight="1" s="13">
      <c r="A196" s="15" t="n">
        <v>195</v>
      </c>
      <c r="B196" s="15" t="inlineStr">
        <is>
          <t>Pro France</t>
        </is>
      </c>
      <c r="C196" s="15" t="n">
        <v>3</v>
      </c>
      <c r="D196" s="15" t="inlineStr">
        <is>
          <t>Paysagiste</t>
        </is>
      </c>
      <c r="E196" s="15" t="inlineStr">
        <is>
          <t>Simonson Landscape</t>
        </is>
      </c>
      <c r="F196" s="15" t="inlineStr">
        <is>
          <t>Paris (75010)</t>
        </is>
      </c>
      <c r="G196" s="15" t="inlineStr">
        <is>
          <t>Île-de-France</t>
        </is>
      </c>
      <c r="H196" s="15" t="inlineStr">
        <is>
          <t>Ce concepteur-réalisateur parisien choisit les matériaux de ses terrasses et jardins avec piscine : il pourrait prescrire MINYALA (usage à valider avec lui : finition, gel, glissance, humidité).</t>
        </is>
      </c>
      <c r="I196" s="20" t="inlineStr">
        <is>
          <t>www.simonsonlandscape.com</t>
        </is>
      </c>
      <c r="J196" s="15" t="inlineStr">
        <is>
          <t>06 43 44 47 42</t>
        </is>
      </c>
      <c r="K196" s="20" t="inlineStr">
        <is>
          <t>Voir</t>
        </is>
      </c>
      <c r="L196" s="21" t="inlineStr">
        <is>
          <t>À contacter</t>
        </is>
      </c>
      <c r="M196" s="21" t="n"/>
      <c r="N196" s="21" t="n"/>
      <c r="O196" s="21" t="n"/>
      <c r="P196" s="15" t="inlineStr">
        <is>
          <t>2e liste (12/10)</t>
        </is>
      </c>
    </row>
    <row r="197" ht="27.75" customHeight="1" s="13">
      <c r="A197" s="15" t="n">
        <v>196</v>
      </c>
      <c r="B197" s="15" t="inlineStr">
        <is>
          <t>Pro France</t>
        </is>
      </c>
      <c r="C197" s="15" t="n">
        <v>3</v>
      </c>
      <c r="D197" s="15" t="inlineStr">
        <is>
          <t>Paysagiste</t>
        </is>
      </c>
      <c r="E197" s="15" t="inlineStr">
        <is>
          <t>Terrasol TP</t>
        </is>
      </c>
      <c r="F197" s="15" t="inlineStr">
        <is>
          <t>Croissy-sur-Seine (78290)</t>
        </is>
      </c>
      <c r="G197" s="15" t="inlineStr">
        <is>
          <t>Île-de-France</t>
        </is>
      </c>
      <c r="H197" s="15" t="inlineStr">
        <is>
          <t>Cette entreprise de Croissy-sur-Seine construit des terrasses et réalise des dallages de jardin, ce qui en fait un poseur possible de MINYALA.</t>
        </is>
      </c>
      <c r="I197" s="15" t="n"/>
      <c r="J197" s="15" t="n"/>
      <c r="K197" s="20" t="inlineStr">
        <is>
          <t>Voir</t>
        </is>
      </c>
      <c r="L197" s="21" t="inlineStr">
        <is>
          <t>À contacter</t>
        </is>
      </c>
      <c r="M197" s="21" t="n"/>
      <c r="N197" s="21" t="n"/>
      <c r="O197" s="21" t="n"/>
      <c r="P197" s="15" t="inlineStr">
        <is>
          <t>2e liste (12/10)</t>
        </is>
      </c>
    </row>
    <row r="198" ht="41.25" customHeight="1" s="13">
      <c r="A198" s="15" t="n">
        <v>197</v>
      </c>
      <c r="B198" s="15" t="inlineStr">
        <is>
          <t>Pro France</t>
        </is>
      </c>
      <c r="C198" s="15" t="n">
        <v>3</v>
      </c>
      <c r="D198" s="15" t="inlineStr">
        <is>
          <t>Paysagiste</t>
        </is>
      </c>
      <c r="E198" s="15" t="inlineStr">
        <is>
          <t>Terrasses des Oliviers</t>
        </is>
      </c>
      <c r="F198" s="15" t="inlineStr">
        <is>
          <t>Levallois-Perret (92300)</t>
        </is>
      </c>
      <c r="G198" s="15" t="inlineStr">
        <is>
          <t>Île-de-France</t>
        </is>
      </c>
      <c r="H198" s="15" t="inlineStr">
        <is>
          <t>Ce paysagiste de Levallois, tout près de Gennevilliers, propose la pierre naturelle parmi les matériaux de ses terrasses et peut intégrer MINYALA.</t>
        </is>
      </c>
      <c r="I198" s="20" t="inlineStr">
        <is>
          <t>www.terrassesdesoliviers.com</t>
        </is>
      </c>
      <c r="J198" s="15" t="inlineStr">
        <is>
          <t>06 40 95 33 02</t>
        </is>
      </c>
      <c r="K198" s="20" t="inlineStr">
        <is>
          <t>Voir</t>
        </is>
      </c>
      <c r="L198" s="21" t="inlineStr">
        <is>
          <t>À contacter</t>
        </is>
      </c>
      <c r="M198" s="21" t="n"/>
      <c r="N198" s="21" t="n"/>
      <c r="O198" s="21" t="n"/>
      <c r="P198" s="15" t="inlineStr">
        <is>
          <t>2e liste (12/10)</t>
        </is>
      </c>
    </row>
    <row r="199" ht="81.75" customHeight="1" s="13">
      <c r="A199" s="15" t="n">
        <v>198</v>
      </c>
      <c r="B199" s="15" t="inlineStr">
        <is>
          <t>Acheteur export (RFQ)</t>
        </is>
      </c>
      <c r="C199" s="15" t="n">
        <v>1</v>
      </c>
      <c r="D199" s="15" t="inlineStr">
        <is>
          <t>Demande StoneAdd</t>
        </is>
      </c>
      <c r="E199" s="15" t="inlineStr">
        <is>
          <t>Ataija Creme Limestone Inquiry</t>
        </is>
      </c>
      <c r="F199" s="15" t="inlineStr">
        <is>
          <t>Belgique</t>
        </is>
      </c>
      <c r="G199" s="15" t="inlineStr">
        <is>
          <t>Export</t>
        </is>
      </c>
      <c r="H199" s="15" t="inlineStr">
        <is>
          <t>Calcaire crème Ataija (Portugal) pour terrasse et piscine — quantité : 100 m² — format : non précisé. Demande de calcaire crème en petite quantité (100 m²) depuis la Belgique, à distance de camion de Gennevilliers. La Minyala peut être proposée comme alternative beige. Attention : l'usage est extérieur (piscine), il faut donc vérifier la résistance au gel et l'antidérapant.</t>
        </is>
      </c>
      <c r="I199" s="15" t="n"/>
      <c r="J199" s="15" t="n"/>
      <c r="K199" s="20" t="inlineStr">
        <is>
          <t>Voir</t>
        </is>
      </c>
      <c r="L199" s="21" t="inlineStr">
        <is>
          <t>À étudier</t>
        </is>
      </c>
      <c r="M199" s="21" t="n"/>
      <c r="N199" s="21" t="n"/>
      <c r="O199" s="21" t="inlineStr">
        <is>
          <t>Correspondance : Forte ; vérifiée : Oui ; publiée le 2026-08-17</t>
        </is>
      </c>
      <c r="P199" s="15" t="inlineStr">
        <is>
          <t>RFQ (12/10)</t>
        </is>
      </c>
    </row>
    <row r="200" ht="81.75" customHeight="1" s="13">
      <c r="A200" s="15" t="n">
        <v>199</v>
      </c>
      <c r="B200" s="15" t="inlineStr">
        <is>
          <t>Acheteur export (RFQ)</t>
        </is>
      </c>
      <c r="C200" s="15" t="n">
        <v>1</v>
      </c>
      <c r="D200" s="15" t="inlineStr">
        <is>
          <t>Demande StoneContact</t>
        </is>
      </c>
      <c r="E200" s="15" t="inlineStr">
        <is>
          <t>Beaumaniere Limestone Slabs &amp; Tiles, France Beige Limestone from France (buyer request on the listing)</t>
        </is>
      </c>
      <c r="F200" s="15" t="inlineStr">
        <is>
          <t>Rotterdam, Netherlands</t>
        </is>
      </c>
      <c r="G200" s="15" t="inlineStr">
        <is>
          <t>Export</t>
        </is>
      </c>
      <c r="H200" s="15" t="inlineStr">
        <is>
          <t>Unpolished limestone tile, warm beige, grey or brown, not too light (Beaumaniere given as the reference) — quantité : about 150 m² — format : at least 60x30 or 60x40 cm, unpolished. Calcaire beige non poli, format minimum 60x30, 150 m², destination Pays-Bas (Rotterdam) : correspond très bien à MINYALA 30x60 en stock. Mais la demande n'est pas datée et est probablement ancienne.</t>
        </is>
      </c>
      <c r="I200" s="15" t="n"/>
      <c r="J200" s="15" t="n"/>
      <c r="K200" s="20" t="inlineStr">
        <is>
          <t>Voir</t>
        </is>
      </c>
      <c r="L200" s="21" t="inlineStr">
        <is>
          <t>À étudier</t>
        </is>
      </c>
      <c r="M200" s="21" t="n"/>
      <c r="N200" s="21" t="n"/>
      <c r="O200" s="21" t="inlineStr">
        <is>
          <t>Correspondance : Forte ; vérifiée : Non (StoneContact bloqué) ; publiée le None</t>
        </is>
      </c>
      <c r="P200" s="15" t="inlineStr">
        <is>
          <t>RFQ (12/10)</t>
        </is>
      </c>
    </row>
    <row r="201" ht="95.25" customHeight="1" s="13">
      <c r="A201" s="15" t="n">
        <v>200</v>
      </c>
      <c r="B201" s="15" t="inlineStr">
        <is>
          <t>Acheteur export (RFQ)</t>
        </is>
      </c>
      <c r="C201" s="15" t="n">
        <v>1</v>
      </c>
      <c r="D201" s="15" t="inlineStr">
        <is>
          <t>Demande StoneAdd</t>
        </is>
      </c>
      <c r="E201" s="15" t="inlineStr">
        <is>
          <t>Buy Sunny Marble</t>
        </is>
      </c>
      <c r="F201" s="15" t="inlineStr">
        <is>
          <t>Autriche (livraisons Autriche et sud de l'Allemagne)</t>
        </is>
      </c>
      <c r="G201" s="15" t="inlineStr">
        <is>
          <t>Export</t>
        </is>
      </c>
      <c r="H201" s="15" t="inlineStr">
        <is>
          <t>Sunny Marble (catégorie « Egypt Marbles »), donc la pierre calcaire Sunny de Minya — quantité : non précisée — format : non précisé. Pierre égyptienne Sunny (région de Minya) : même famille que MINYALA seulement si l'origine Minya est confirmée. L'acheteur est un grossiste qui livre toute l'Autriche et le sud de l'Allemagne, ce qui en fait un débouché européen proche. Il demande si la pierre résiste au gel.</t>
        </is>
      </c>
      <c r="I201" s="15" t="n"/>
      <c r="J201" s="15" t="n"/>
      <c r="K201" s="20" t="inlineStr">
        <is>
          <t>Voir</t>
        </is>
      </c>
      <c r="L201" s="21" t="inlineStr">
        <is>
          <t>À étudier</t>
        </is>
      </c>
      <c r="M201" s="21" t="n"/>
      <c r="N201" s="21" t="n"/>
      <c r="O201" s="21" t="inlineStr">
        <is>
          <t>Correspondance : Forte ; vérifiée : Oui ; publiée le 2026-05-19</t>
        </is>
      </c>
      <c r="P201" s="15" t="inlineStr">
        <is>
          <t>RFQ (12/10)</t>
        </is>
      </c>
    </row>
    <row r="202" ht="95.25" customHeight="1" s="13">
      <c r="A202" s="15" t="n">
        <v>201</v>
      </c>
      <c r="B202" s="15" t="inlineStr">
        <is>
          <t>Acheteur export (RFQ)</t>
        </is>
      </c>
      <c r="C202" s="15" t="n">
        <v>1</v>
      </c>
      <c r="D202" s="15" t="inlineStr">
        <is>
          <t>Demande Alibaba RFQ</t>
        </is>
      </c>
      <c r="E202" s="15" t="inlineStr">
        <is>
          <t>Perfekte Steinfliesen aus Kalkstein und Marmor für Innenräume, Natürliche Kalksteinplatten für Hausrenovierung und Wohnprojekte</t>
        </is>
      </c>
      <c r="F202" s="15" t="inlineStr">
        <is>
          <t>Suisse</t>
        </is>
      </c>
      <c r="G202" s="15" t="inlineStr">
        <is>
          <t>Export</t>
        </is>
      </c>
      <c r="H202" s="15" t="inlineStr">
        <is>
          <t>Carreaux de sol en pierre naturelle (calcaire ou marbre) pour l'intérieur et la rénovation — quantité : 40 pièces (MOQ en m² demandé) — format : non précisé. Carreaux de calcaire pour sol intérieur, acheteur en Suisse, pays voisin de la France. Il demande un catalogue et un MOQ en m², ce qui correspond à une vente sur stock à partir de 25 m². Pour répondre sur Alibaba, il faut un abonnement vendeur payant.</t>
        </is>
      </c>
      <c r="I202" s="15" t="n"/>
      <c r="J202" s="15" t="n"/>
      <c r="K202" s="20" t="inlineStr">
        <is>
          <t>Voir</t>
        </is>
      </c>
      <c r="L202" s="21" t="inlineStr">
        <is>
          <t>À étudier</t>
        </is>
      </c>
      <c r="M202" s="21" t="n"/>
      <c r="N202" s="21" t="n"/>
      <c r="O202" s="21" t="inlineStr">
        <is>
          <t>Correspondance : Forte ; vérifiée : Oui ; publiée le affiché « 10 days ago » le 2026-10-12 (vers le 2026-10-02)</t>
        </is>
      </c>
      <c r="P202" s="15" t="inlineStr">
        <is>
          <t>RFQ (12/10)</t>
        </is>
      </c>
    </row>
    <row r="203" ht="95.25" customHeight="1" s="13">
      <c r="A203" s="15" t="n">
        <v>202</v>
      </c>
      <c r="B203" s="15" t="inlineStr">
        <is>
          <t>Acheteur export (RFQ)</t>
        </is>
      </c>
      <c r="C203" s="15" t="n">
        <v>1</v>
      </c>
      <c r="D203" s="15" t="inlineStr">
        <is>
          <t>Demande StoneContact</t>
        </is>
      </c>
      <c r="E203" s="15" t="inlineStr">
        <is>
          <t>Sinai Pearl Grey Limestone Slabs&amp;Tiles from Egypt</t>
        </is>
      </c>
      <c r="F203" s="15" t="inlineStr">
        <is>
          <t>France (clients in France and the UK)</t>
        </is>
      </c>
      <c r="G203" s="15" t="inlineStr">
        <is>
          <t>Export</t>
        </is>
      </c>
      <c r="H203" s="15" t="inlineStr">
        <is>
          <t>Sinai Pearl Grey limestone (Egyptian) tiles, with a sample requested before ordering — quantité : 150 m² — format : None. Entreprise française de rénovation qui cherche du calcaire égyptien pour des clients en France et au Royaume-Uni, 150 m², échantillon d'abord : le stock de Gennevilliers permet un échantillon et une livraison rapides. La teinte demandée est grise et non crème, et la demande n'est pas datée.</t>
        </is>
      </c>
      <c r="I203" s="15" t="n"/>
      <c r="J203" s="15" t="n"/>
      <c r="K203" s="20" t="inlineStr">
        <is>
          <t>Voir</t>
        </is>
      </c>
      <c r="L203" s="21" t="inlineStr">
        <is>
          <t>À étudier</t>
        </is>
      </c>
      <c r="M203" s="21" t="n"/>
      <c r="N203" s="21" t="n"/>
      <c r="O203" s="21" t="inlineStr">
        <is>
          <t>Correspondance : Forte ; vérifiée : Non (StoneContact bloqué) ; publiée le None</t>
        </is>
      </c>
      <c r="P203" s="15" t="inlineStr">
        <is>
          <t>RFQ (12/10)</t>
        </is>
      </c>
    </row>
    <row r="204" ht="68.25" customHeight="1" s="13">
      <c r="A204" s="15" t="n">
        <v>203</v>
      </c>
      <c r="B204" s="15" t="inlineStr">
        <is>
          <t>Acheteur export (RFQ)</t>
        </is>
      </c>
      <c r="C204" s="15" t="n">
        <v>2</v>
      </c>
      <c r="D204" s="15" t="inlineStr">
        <is>
          <t>Demande StoneContact</t>
        </is>
      </c>
      <c r="E204" s="15" t="inlineStr">
        <is>
          <t>Beige Limestone Floor Tiles from United Kingdom</t>
        </is>
      </c>
      <c r="F204" s="15" t="n"/>
      <c r="G204" s="15" t="inlineStr">
        <is>
          <t>Export</t>
        </is>
      </c>
      <c r="H204" s="15" t="inlineStr">
        <is>
          <t>Polished grey-beige Jura limestone — quantité : 150 m (as written by the buyer) — format : 60x40 cm, polished. Calcaire beige, 150 m² sur une annonce britannique : MINYALA pourrait être proposé en 30x60 à la place du 60x40 Jura poli. Destination non confirmée et demande non datée.</t>
        </is>
      </c>
      <c r="I204" s="15" t="n"/>
      <c r="J204" s="15" t="n"/>
      <c r="K204" s="20" t="inlineStr">
        <is>
          <t>Voir</t>
        </is>
      </c>
      <c r="L204" s="21" t="inlineStr">
        <is>
          <t>À étudier</t>
        </is>
      </c>
      <c r="M204" s="21" t="n"/>
      <c r="N204" s="21" t="n"/>
      <c r="O204" s="21" t="inlineStr">
        <is>
          <t>Correspondance : Possible ; vérifiée : Non (StoneContact bloqué) ; publiée le None</t>
        </is>
      </c>
      <c r="P204" s="15" t="inlineStr">
        <is>
          <t>RFQ (12/10)</t>
        </is>
      </c>
    </row>
    <row r="205" ht="95.25" customHeight="1" s="13">
      <c r="A205" s="15" t="n">
        <v>204</v>
      </c>
      <c r="B205" s="15" t="inlineStr">
        <is>
          <t>Acheteur export (RFQ)</t>
        </is>
      </c>
      <c r="C205" s="15" t="n">
        <v>2</v>
      </c>
      <c r="D205" s="15" t="inlineStr">
        <is>
          <t>Demande StoneAdd</t>
        </is>
      </c>
      <c r="E205" s="15" t="inlineStr">
        <is>
          <t>Beige Travertine KARAMAN Inquiry</t>
        </is>
      </c>
      <c r="F205" s="15" t="inlineStr">
        <is>
          <t>France (Sud-Ouest)</t>
        </is>
      </c>
      <c r="G205" s="15" t="inlineStr">
        <is>
          <t>Export</t>
        </is>
      </c>
      <c r="H205" s="15" t="inlineStr">
        <is>
          <t>Travertin beige de Karaman : dalles 1,2×40,6×61, margelles 3×33×61 et angles 3×48×48 — quantité : non précisée (importateur d'environ 40 conteneurs par an) — format : 1,2×40,6×61 cm ; 3×33×61 cm ; 3×48×48 cm. Importateur français de pierre beige installé dans le Sud-Ouest (environ 40 conteneurs par an), insatisfait de ses fournisseurs actuels. C'est un bon prospect commercial, mais il demande du travertin turc dans des formats précis, pas du calcaire 30×60.</t>
        </is>
      </c>
      <c r="I205" s="15" t="n"/>
      <c r="J205" s="15" t="n"/>
      <c r="K205" s="20" t="inlineStr">
        <is>
          <t>Voir</t>
        </is>
      </c>
      <c r="L205" s="21" t="inlineStr">
        <is>
          <t>À étudier</t>
        </is>
      </c>
      <c r="M205" s="21" t="n"/>
      <c r="N205" s="21" t="n"/>
      <c r="O205" s="21" t="inlineStr">
        <is>
          <t>Correspondance : Possible ; vérifiée : Oui ; publiée le 2026-03-27</t>
        </is>
      </c>
      <c r="P205" s="15" t="inlineStr">
        <is>
          <t>RFQ (12/10)</t>
        </is>
      </c>
    </row>
    <row r="206" ht="81.75" customHeight="1" s="13">
      <c r="A206" s="15" t="n">
        <v>205</v>
      </c>
      <c r="B206" s="15" t="inlineStr">
        <is>
          <t>Acheteur export (RFQ)</t>
        </is>
      </c>
      <c r="C206" s="15" t="n">
        <v>2</v>
      </c>
      <c r="D206" s="15" t="inlineStr">
        <is>
          <t>Demande StoneAdd</t>
        </is>
      </c>
      <c r="E206" s="15" t="inlineStr">
        <is>
          <t>Buy Crema Marfil tiles 305x305x1cm Standard Range</t>
        </is>
      </c>
      <c r="F206" s="15" t="inlineStr">
        <is>
          <t>Espagne</t>
        </is>
      </c>
      <c r="G206" s="15" t="inlineStr">
        <is>
          <t>Export</t>
        </is>
      </c>
      <c r="H206" s="15" t="inlineStr">
        <is>
          <t>Carreaux de marbre beige Crema Marfil 30,5×30,5×1 cm, polis — quantité : non précisée — format : 30,5×30,5×1 cm. Carreaux de marbre beige demandés depuis l'Espagne, avec une question sur le stock. Le format (30,5×30,5×1 cm) et la pierre (espagnole) ne sont pas les mêmes que la Minyala 30×60×2. À proposer comme alternative. La demande date d'avril.</t>
        </is>
      </c>
      <c r="I206" s="15" t="n"/>
      <c r="J206" s="15" t="n"/>
      <c r="K206" s="20" t="inlineStr">
        <is>
          <t>Voir</t>
        </is>
      </c>
      <c r="L206" s="21" t="inlineStr">
        <is>
          <t>À étudier</t>
        </is>
      </c>
      <c r="M206" s="21" t="n"/>
      <c r="N206" s="21" t="n"/>
      <c r="O206" s="21" t="inlineStr">
        <is>
          <t>Correspondance : Possible ; vérifiée : Oui ; publiée le 2026-04-18</t>
        </is>
      </c>
      <c r="P206" s="15" t="inlineStr">
        <is>
          <t>RFQ (12/10)</t>
        </is>
      </c>
    </row>
    <row r="207" ht="41.25" customHeight="1" s="13">
      <c r="A207" s="15" t="n">
        <v>206</v>
      </c>
      <c r="B207" s="15" t="inlineStr">
        <is>
          <t>Acheteur export (RFQ)</t>
        </is>
      </c>
      <c r="C207" s="15" t="n">
        <v>2</v>
      </c>
      <c r="D207" s="15" t="inlineStr">
        <is>
          <t>Demande StoneAdd</t>
        </is>
      </c>
      <c r="E207" s="15" t="inlineStr">
        <is>
          <t>Buy Moscato Beige Marble</t>
        </is>
      </c>
      <c r="F207" s="15" t="inlineStr">
        <is>
          <t>Irlande</t>
        </is>
      </c>
      <c r="G207" s="15" t="inlineStr">
        <is>
          <t>Export</t>
        </is>
      </c>
      <c r="H207" s="15" t="inlineStr">
        <is>
          <t>Marbre beige Moscato (Espagne) — quantité : non précisée — format : non précisé. Pierre beige, acheteur en Irlande (UE). La demande vise une référence espagnole précise et ne donne ni format ni quantité.</t>
        </is>
      </c>
      <c r="I207" s="15" t="n"/>
      <c r="J207" s="15" t="n"/>
      <c r="K207" s="20" t="inlineStr">
        <is>
          <t>Voir</t>
        </is>
      </c>
      <c r="L207" s="21" t="inlineStr">
        <is>
          <t>À étudier</t>
        </is>
      </c>
      <c r="M207" s="21" t="n"/>
      <c r="N207" s="21" t="n"/>
      <c r="O207" s="21" t="inlineStr">
        <is>
          <t>Correspondance : Possible ; vérifiée : Oui ; publiée le 2026-09-12</t>
        </is>
      </c>
      <c r="P207" s="15" t="inlineStr">
        <is>
          <t>RFQ (12/10)</t>
        </is>
      </c>
    </row>
    <row r="208" ht="54.75" customHeight="1" s="13">
      <c r="A208" s="15" t="n">
        <v>207</v>
      </c>
      <c r="B208" s="15" t="inlineStr">
        <is>
          <t>Acheteur export (RFQ)</t>
        </is>
      </c>
      <c r="C208" s="15" t="n">
        <v>2</v>
      </c>
      <c r="D208" s="15" t="inlineStr">
        <is>
          <t>Demande StoneAdd</t>
        </is>
      </c>
      <c r="E208" s="15" t="inlineStr">
        <is>
          <t>Buy Sinai Pearl Limestone Stairs and Steps</t>
        </is>
      </c>
      <c r="F208" s="15" t="inlineStr">
        <is>
          <t>Kosovo</t>
        </is>
      </c>
      <c r="G208" s="15" t="inlineStr">
        <is>
          <t>Export</t>
        </is>
      </c>
      <c r="H208" s="15" t="inlineStr">
        <is>
          <t>Marches et escaliers en calcaire égyptien Sinai Pearl — quantité : non précisée — format : marches (non précisé). Calcaire égyptien, acheteur au Kosovo (Europe hors UE). Il cherche des marches et non des carreaux 30×60, et la Sinai Pearl vient du Sinaï, pas de Minya.</t>
        </is>
      </c>
      <c r="I208" s="15" t="n"/>
      <c r="J208" s="15" t="n"/>
      <c r="K208" s="20" t="inlineStr">
        <is>
          <t>Voir</t>
        </is>
      </c>
      <c r="L208" s="21" t="inlineStr">
        <is>
          <t>À étudier</t>
        </is>
      </c>
      <c r="M208" s="21" t="n"/>
      <c r="N208" s="21" t="n"/>
      <c r="O208" s="21" t="inlineStr">
        <is>
          <t>Correspondance : Possible ; vérifiée : Oui ; publiée le 2026-09-09</t>
        </is>
      </c>
      <c r="P208" s="15" t="inlineStr">
        <is>
          <t>RFQ (12/10)</t>
        </is>
      </c>
    </row>
    <row r="209" ht="54.75" customHeight="1" s="13">
      <c r="A209" s="15" t="n">
        <v>208</v>
      </c>
      <c r="B209" s="15" t="inlineStr">
        <is>
          <t>Acheteur export (RFQ)</t>
        </is>
      </c>
      <c r="C209" s="15" t="n">
        <v>2</v>
      </c>
      <c r="D209" s="15" t="inlineStr">
        <is>
          <t>Demande StoneAdd</t>
        </is>
      </c>
      <c r="E209" s="15" t="inlineStr">
        <is>
          <t>Buy THALA BEIGE Marbles</t>
        </is>
      </c>
      <c r="F209" s="15" t="inlineStr">
        <is>
          <t>Italie</t>
        </is>
      </c>
      <c r="G209" s="15" t="inlineStr">
        <is>
          <t>Export</t>
        </is>
      </c>
      <c r="H209" s="15" t="inlineStr">
        <is>
          <t>Thala Beige (pierre beige tunisienne) — quantité : non précisée — format : non précisé. Pierre beige nord-africaine du même registre que la Minyala, acheteur en Italie. La demande est générique et sans quantité.</t>
        </is>
      </c>
      <c r="I209" s="15" t="n"/>
      <c r="J209" s="15" t="n"/>
      <c r="K209" s="20" t="inlineStr">
        <is>
          <t>Voir</t>
        </is>
      </c>
      <c r="L209" s="21" t="inlineStr">
        <is>
          <t>À étudier</t>
        </is>
      </c>
      <c r="M209" s="21" t="n"/>
      <c r="N209" s="21" t="n"/>
      <c r="O209" s="21" t="inlineStr">
        <is>
          <t>Correspondance : Possible ; vérifiée : Oui ; publiée le 2026-08-29</t>
        </is>
      </c>
      <c r="P209" s="15" t="inlineStr">
        <is>
          <t>RFQ (12/10)</t>
        </is>
      </c>
    </row>
    <row r="210" ht="54.75" customHeight="1" s="13">
      <c r="A210" s="15" t="n">
        <v>209</v>
      </c>
      <c r="B210" s="15" t="inlineStr">
        <is>
          <t>Acheteur export (RFQ)</t>
        </is>
      </c>
      <c r="C210" s="15" t="n">
        <v>2</v>
      </c>
      <c r="D210" s="15" t="inlineStr">
        <is>
          <t>Demande StoneAdd</t>
        </is>
      </c>
      <c r="E210" s="15" t="inlineStr">
        <is>
          <t>Buy Turkey Ivory Travertine Slab</t>
        </is>
      </c>
      <c r="F210" s="15" t="inlineStr">
        <is>
          <t>Kalamata, Grèce</t>
        </is>
      </c>
      <c r="G210" s="15" t="inlineStr">
        <is>
          <t>Export</t>
        </is>
      </c>
      <c r="H210" s="15" t="inlineStr">
        <is>
          <t>Travertin ivoire (Turquie), 120 m², livraison à Kalamata — quantité : 120 m² — format : non précisé. Pierre claire en petite quantité (120 m²) pour la Grèce, dans l'UE. C'est du travertin et non du calcaire, et le transport jusqu'à Kalamata coûte cher depuis Paris.</t>
        </is>
      </c>
      <c r="I210" s="15" t="n"/>
      <c r="J210" s="15" t="n"/>
      <c r="K210" s="20" t="inlineStr">
        <is>
          <t>Voir</t>
        </is>
      </c>
      <c r="L210" s="21" t="inlineStr">
        <is>
          <t>À étudier</t>
        </is>
      </c>
      <c r="M210" s="21" t="n"/>
      <c r="N210" s="21" t="n"/>
      <c r="O210" s="21" t="inlineStr">
        <is>
          <t>Correspondance : Possible ; vérifiée : Oui ; publiée le 2026-06-05</t>
        </is>
      </c>
      <c r="P210" s="15" t="inlineStr">
        <is>
          <t>RFQ (12/10)</t>
        </is>
      </c>
    </row>
    <row r="211" ht="81.75" customHeight="1" s="13">
      <c r="A211" s="15" t="n">
        <v>210</v>
      </c>
      <c r="B211" s="15" t="inlineStr">
        <is>
          <t>Acheteur export (RFQ)</t>
        </is>
      </c>
      <c r="C211" s="15" t="n">
        <v>2</v>
      </c>
      <c r="D211" s="15" t="inlineStr">
        <is>
          <t>Demande StoneContact</t>
        </is>
      </c>
      <c r="E211" s="15" t="inlineStr">
        <is>
          <t>Buyers from France - Global Stone Buyer Center (RFQ for Buffon Banc Limestone)</t>
        </is>
      </c>
      <c r="F211" s="15" t="inlineStr">
        <is>
          <t>France</t>
        </is>
      </c>
      <c r="G211" s="15" t="inlineStr">
        <is>
          <t>Export</t>
        </is>
      </c>
      <c r="H211" s="15" t="inlineStr">
        <is>
          <t>Buffon Banc limestone (French beige limestone); photos and price per m² requested — quantité : None — format : None. Acheteur français de calcaire beige : on peut lui proposer MINYALA comme alternative avec retrait à Gennevilliers ou Vernon, ou livraison sur devis dès 100 m². Il vise toutefois une pierre française précise, et la demande date de juillet 2025.</t>
        </is>
      </c>
      <c r="I211" s="15" t="n"/>
      <c r="J211" s="15" t="n"/>
      <c r="K211" s="20" t="inlineStr">
        <is>
          <t>Voir</t>
        </is>
      </c>
      <c r="L211" s="21" t="inlineStr">
        <is>
          <t>À étudier</t>
        </is>
      </c>
      <c r="M211" s="21" t="n"/>
      <c r="N211" s="21" t="n"/>
      <c r="O211" s="21" t="inlineStr">
        <is>
          <t>Correspondance : Possible ; vérifiée : Non (StoneContact bloqué) ; publiée le July 2025</t>
        </is>
      </c>
      <c r="P211" s="15" t="inlineStr">
        <is>
          <t>RFQ (12/10)</t>
        </is>
      </c>
    </row>
    <row r="212" ht="68.25" customHeight="1" s="13">
      <c r="A212" s="15" t="n">
        <v>211</v>
      </c>
      <c r="B212" s="15" t="inlineStr">
        <is>
          <t>Acheteur export (RFQ)</t>
        </is>
      </c>
      <c r="C212" s="15" t="n">
        <v>2</v>
      </c>
      <c r="D212" s="15" t="inlineStr">
        <is>
          <t>Demande StoneContact</t>
        </is>
      </c>
      <c r="E212" s="15" t="inlineStr">
        <is>
          <t>Buyers from France - Global Stone Buyer Center (RFQ for beige sandstone flooring)</t>
        </is>
      </c>
      <c r="F212" s="15" t="inlineStr">
        <is>
          <t>France</t>
        </is>
      </c>
      <c r="G212" s="15" t="inlineStr">
        <is>
          <t>Export</t>
        </is>
      </c>
      <c r="H212" s="15" t="inlineStr">
        <is>
          <t>Beige sandstone flooring with a natural surface (photos attached) — quantité : about 300 m² — format : None. Acheteur en France, environ 300 m² de dallage beige : MINYALA pourrait être proposé comme alternative calcaire. La demande vise du grès et date d'août 2025, juste au-delà de 12 mois.</t>
        </is>
      </c>
      <c r="I212" s="15" t="n"/>
      <c r="J212" s="15" t="n"/>
      <c r="K212" s="20" t="inlineStr">
        <is>
          <t>Voir</t>
        </is>
      </c>
      <c r="L212" s="21" t="inlineStr">
        <is>
          <t>À étudier</t>
        </is>
      </c>
      <c r="M212" s="21" t="n"/>
      <c r="N212" s="21" t="n"/>
      <c r="O212" s="21" t="inlineStr">
        <is>
          <t>Correspondance : Possible ; vérifiée : Non (StoneContact bloqué) ; publiée le Aug 21, 2025</t>
        </is>
      </c>
      <c r="P212" s="15" t="inlineStr">
        <is>
          <t>RFQ (12/10)</t>
        </is>
      </c>
    </row>
    <row r="213" ht="81.75" customHeight="1" s="13">
      <c r="A213" s="15" t="n">
        <v>212</v>
      </c>
      <c r="B213" s="15" t="inlineStr">
        <is>
          <t>Acheteur export (RFQ)</t>
        </is>
      </c>
      <c r="C213" s="15" t="n">
        <v>2</v>
      </c>
      <c r="D213" s="15" t="inlineStr">
        <is>
          <t>Demande StoneContact</t>
        </is>
      </c>
      <c r="E213" s="15" t="inlineStr">
        <is>
          <t>Buyers from Ireland - Global Stone Buyer Center (RFQ for Jerusalem Gold Limestone tiles and cobbles)</t>
        </is>
      </c>
      <c r="F213" s="15" t="inlineStr">
        <is>
          <t>Ireland</t>
        </is>
      </c>
      <c r="G213" s="15" t="inlineStr">
        <is>
          <t>Export</t>
        </is>
      </c>
      <c r="H213" s="15" t="inlineStr">
        <is>
          <t>Jerusalem Gold limestone: sanded exterior slabs, kerbs, tumbled cobbles (landscaping) — quantité : a few hundred metres — format : sanded finish. Calcaire doré-beige pour l'extérieur en Irlande, « quelques centaines de mètres » : MINYALA peut être proposé pour les dalles. Il s'agit surtout d'aménagement paysager, et la demande date d'août 2025.</t>
        </is>
      </c>
      <c r="I213" s="15" t="n"/>
      <c r="J213" s="15" t="n"/>
      <c r="K213" s="20" t="inlineStr">
        <is>
          <t>Voir</t>
        </is>
      </c>
      <c r="L213" s="21" t="inlineStr">
        <is>
          <t>À étudier</t>
        </is>
      </c>
      <c r="M213" s="21" t="n"/>
      <c r="N213" s="21" t="n"/>
      <c r="O213" s="21" t="inlineStr">
        <is>
          <t>Correspondance : Possible ; vérifiée : Non (StoneContact bloqué) ; publiée le Aug 27, 2025</t>
        </is>
      </c>
      <c r="P213" s="15" t="inlineStr">
        <is>
          <t>RFQ (12/10)</t>
        </is>
      </c>
    </row>
    <row r="214" ht="68.25" customHeight="1" s="13">
      <c r="A214" s="15" t="n">
        <v>213</v>
      </c>
      <c r="B214" s="15" t="inlineStr">
        <is>
          <t>Acheteur export (RFQ)</t>
        </is>
      </c>
      <c r="C214" s="15" t="n">
        <v>2</v>
      </c>
      <c r="D214" s="15" t="inlineStr">
        <is>
          <t>Demande StoneContact</t>
        </is>
      </c>
      <c r="E214" s="15" t="inlineStr">
        <is>
          <t>Buyers from United Kingdom - Global Stone Buyer Center (RFQ for Oman White Limestone)</t>
        </is>
      </c>
      <c r="F214" s="15" t="inlineStr">
        <is>
          <t>London, UK</t>
        </is>
      </c>
      <c r="G214" s="15" t="inlineStr">
        <is>
          <t>Export</t>
        </is>
      </c>
      <c r="H214" s="15" t="inlineStr">
        <is>
          <t>Oman White limestone, as slabs or cut-to-size tiles — quantité : 65 m² — format : slabs or cut-to-size, 20 mm. Demande récente (mai 2026), 65 m² en 20 mm livrés à Londres : volume et épaisseur conviennent. La couleur demandée est blanche (Oman White), pas crème, donc MINYALA ne peut être proposé qu'en alternative.</t>
        </is>
      </c>
      <c r="I214" s="15" t="n"/>
      <c r="J214" s="15" t="n"/>
      <c r="K214" s="20" t="inlineStr">
        <is>
          <t>Voir</t>
        </is>
      </c>
      <c r="L214" s="21" t="inlineStr">
        <is>
          <t>À étudier</t>
        </is>
      </c>
      <c r="M214" s="21" t="n"/>
      <c r="N214" s="21" t="n"/>
      <c r="O214" s="21" t="inlineStr">
        <is>
          <t>Correspondance : Possible ; vérifiée : Non (StoneContact bloqué) ; publiée le May 14, 2026</t>
        </is>
      </c>
      <c r="P214" s="15" t="inlineStr">
        <is>
          <t>RFQ (12/10)</t>
        </is>
      </c>
    </row>
    <row r="215" ht="68.25" customHeight="1" s="13">
      <c r="A215" s="15" t="n">
        <v>214</v>
      </c>
      <c r="B215" s="15" t="inlineStr">
        <is>
          <t>Acheteur export (RFQ)</t>
        </is>
      </c>
      <c r="C215" s="15" t="n">
        <v>2</v>
      </c>
      <c r="D215" s="15" t="inlineStr">
        <is>
          <t>Demande StoneContact</t>
        </is>
      </c>
      <c r="E215" s="15" t="inlineStr">
        <is>
          <t>Dijon Limestone Honed Finish Floor Tiles from United Kingdom</t>
        </is>
      </c>
      <c r="F215" s="15" t="inlineStr">
        <is>
          <t>Spain (company located in Spain)</t>
        </is>
      </c>
      <c r="G215" s="15" t="inlineStr">
        <is>
          <t>Export</t>
        </is>
      </c>
      <c r="H215" s="15" t="inlineStr">
        <is>
          <t>Dijon beige limestone for exterior paving — quantité : 2,000 m² — format : 60x30, 60x20, 60x15, 40x40 cm; 5 cm. Calcaire beige en 60x30 demandé par une société espagnole d'import-export (2 000 m²), mais pour du dallage extérieur en 5 cm : l'épaisseur ne correspond pas aux 2 cm de MINYALA. Demande non datée.</t>
        </is>
      </c>
      <c r="I215" s="15" t="n"/>
      <c r="J215" s="15" t="n"/>
      <c r="K215" s="20" t="inlineStr">
        <is>
          <t>Voir</t>
        </is>
      </c>
      <c r="L215" s="21" t="inlineStr">
        <is>
          <t>À étudier</t>
        </is>
      </c>
      <c r="M215" s="21" t="n"/>
      <c r="N215" s="21" t="n"/>
      <c r="O215" s="21" t="inlineStr">
        <is>
          <t>Correspondance : Possible ; vérifiée : Non (StoneContact bloqué) ; publiée le None</t>
        </is>
      </c>
      <c r="P215" s="15" t="inlineStr">
        <is>
          <t>RFQ (12/10)</t>
        </is>
      </c>
    </row>
    <row r="216" ht="68.25" customHeight="1" s="13">
      <c r="A216" s="15" t="n">
        <v>215</v>
      </c>
      <c r="B216" s="15" t="inlineStr">
        <is>
          <t>Acheteur export (RFQ)</t>
        </is>
      </c>
      <c r="C216" s="15" t="n">
        <v>2</v>
      </c>
      <c r="D216" s="15" t="inlineStr">
        <is>
          <t>Demande StoneContact</t>
        </is>
      </c>
      <c r="E216" s="15" t="inlineStr">
        <is>
          <t>Galala Beige Marble Tiles &amp; Slab from Egypt</t>
        </is>
      </c>
      <c r="F216" s="15" t="inlineStr">
        <is>
          <t>Spain (Spanish company)</t>
        </is>
      </c>
      <c r="G216" s="15" t="inlineStr">
        <is>
          <t>Export</t>
        </is>
      </c>
      <c r="H216" s="15" t="inlineStr">
        <is>
          <t>Galala (Egyptian beige), 80x80x2 honed tiles filled with epoxy resin — quantité : 7,000 m² — format : 80x80x2 cm, honed, epoxy-filled. Projet espagnol de 7 000 m² en pierre beige égyptienne de 2 cm adoucie : la teinte et l'épaisseur conviennent, mais le format 80x80 et le volume dépassent le stock. Demande non datée.</t>
        </is>
      </c>
      <c r="I216" s="15" t="n"/>
      <c r="J216" s="15" t="n"/>
      <c r="K216" s="20" t="inlineStr">
        <is>
          <t>Voir</t>
        </is>
      </c>
      <c r="L216" s="21" t="inlineStr">
        <is>
          <t>À étudier</t>
        </is>
      </c>
      <c r="M216" s="21" t="n"/>
      <c r="N216" s="21" t="n"/>
      <c r="O216" s="21" t="inlineStr">
        <is>
          <t>Correspondance : Possible ; vérifiée : Non (StoneContact bloqué) ; publiée le None</t>
        </is>
      </c>
      <c r="P216" s="15" t="inlineStr">
        <is>
          <t>RFQ (12/10)</t>
        </is>
      </c>
    </row>
    <row r="217" ht="95.25" customHeight="1" s="13">
      <c r="A217" s="15" t="n">
        <v>216</v>
      </c>
      <c r="B217" s="15" t="inlineStr">
        <is>
          <t>Acheteur export (RFQ)</t>
        </is>
      </c>
      <c r="C217" s="15" t="n">
        <v>2</v>
      </c>
      <c r="D217" s="15" t="inlineStr">
        <is>
          <t>Demande StoneContact</t>
        </is>
      </c>
      <c r="E217" s="15" t="inlineStr">
        <is>
          <t>Galala Extra - Galala Marble Quarry</t>
        </is>
      </c>
      <c r="F217" s="15" t="inlineStr">
        <is>
          <t>France (French project)</t>
        </is>
      </c>
      <c r="G217" s="15" t="inlineStr">
        <is>
          <t>Export</t>
        </is>
      </c>
      <c r="H217" s="15" t="inlineStr">
        <is>
          <t>Commercial-grade Galala Extra (Egyptian beige), bush-hammered top face, other faces sawn — quantité : about 3,950 m² in total (2,570 m² of it in 60x30) — format : 60x30x7.5, 60x25x7.5, 30x30x7.5, 100x30x7.5, 100x50x7.5 cm. Pierre beige égyptienne pour un projet en France avec un gros volume en 60x30, mais l'épaisseur demandée est de 7,5 cm (dallage), contre 2 cm pour MINYALA. Demande non datée.</t>
        </is>
      </c>
      <c r="I217" s="15" t="n"/>
      <c r="J217" s="15" t="n"/>
      <c r="K217" s="20" t="inlineStr">
        <is>
          <t>Voir</t>
        </is>
      </c>
      <c r="L217" s="21" t="inlineStr">
        <is>
          <t>À étudier</t>
        </is>
      </c>
      <c r="M217" s="21" t="n"/>
      <c r="N217" s="21" t="n"/>
      <c r="O217" s="21" t="inlineStr">
        <is>
          <t>Correspondance : Possible ; vérifiée : Non (StoneContact bloqué) ; publiée le None</t>
        </is>
      </c>
      <c r="P217" s="15" t="inlineStr">
        <is>
          <t>RFQ (12/10)</t>
        </is>
      </c>
    </row>
    <row r="218" ht="81.75" customHeight="1" s="13">
      <c r="A218" s="15" t="n">
        <v>217</v>
      </c>
      <c r="B218" s="15" t="inlineStr">
        <is>
          <t>Acheteur export (RFQ)</t>
        </is>
      </c>
      <c r="C218" s="15" t="n">
        <v>2</v>
      </c>
      <c r="D218" s="15" t="inlineStr">
        <is>
          <t>Demande StoneContact</t>
        </is>
      </c>
      <c r="E218" s="15" t="inlineStr">
        <is>
          <t>Global Stone Buyer Center (RFQ for Portuguese Moleanos Beige Limestone)</t>
        </is>
      </c>
      <c r="F218" s="15" t="inlineStr">
        <is>
          <t>Russia</t>
        </is>
      </c>
      <c r="G218" s="15" t="inlineStr">
        <is>
          <t>Export</t>
        </is>
      </c>
      <c r="H218" s="15" t="inlineStr">
        <is>
          <t>Cut-to-size honed tiles in Moleanos Beige limestone (Portugal) — quantité : 2,000 m² — format : cut-to-size, honed. Calcaire beige adouci sur mesure, demande récente (mai 2026), mais l'acheteur veut du Moleanos portugais et livraison en Russie (EXW). La substitution par MINYALA est peu probable et le volume (2 000 m²) dépasse le stock.</t>
        </is>
      </c>
      <c r="I218" s="15" t="n"/>
      <c r="J218" s="15" t="n"/>
      <c r="K218" s="20" t="inlineStr">
        <is>
          <t>Voir</t>
        </is>
      </c>
      <c r="L218" s="21" t="inlineStr">
        <is>
          <t>À étudier</t>
        </is>
      </c>
      <c r="M218" s="21" t="n"/>
      <c r="N218" s="21" t="n"/>
      <c r="O218" s="21" t="inlineStr">
        <is>
          <t>Correspondance : Possible ; vérifiée : Non (StoneContact bloqué) ; publiée le May 26, 2026</t>
        </is>
      </c>
      <c r="P218" s="15" t="inlineStr">
        <is>
          <t>RFQ (12/10)</t>
        </is>
      </c>
    </row>
    <row r="219" ht="81.75" customHeight="1" s="13">
      <c r="A219" s="15" t="n">
        <v>218</v>
      </c>
      <c r="B219" s="15" t="inlineStr">
        <is>
          <t>Acheteur export (RFQ)</t>
        </is>
      </c>
      <c r="C219" s="15" t="n">
        <v>2</v>
      </c>
      <c r="D219" s="15" t="inlineStr">
        <is>
          <t>Demande StoneAdd</t>
        </is>
      </c>
      <c r="E219" s="15" t="inlineStr">
        <is>
          <t>Marble Slabs Inquiry</t>
        </is>
      </c>
      <c r="F219" s="15" t="inlineStr">
        <is>
          <t>France</t>
        </is>
      </c>
      <c r="G219" s="15" t="inlineStr">
        <is>
          <t>Export</t>
        </is>
      </c>
      <c r="H219" s="15" t="inlineStr">
        <is>
          <t>Tranches de marbre, environ 150 m², achat sur stock — quantité : environ 150 m² — format : non précisé. L'acheteur est en France et veut environ 150 m² disponibles en stock, avec visite sur place. Un stock à Gennevilliers convient très bien sur la logistique. En revanche, il cherche du « marbre » en tranches et non des carreaux 30×60 : à proposer comme alternative.</t>
        </is>
      </c>
      <c r="I219" s="15" t="n"/>
      <c r="J219" s="15" t="n"/>
      <c r="K219" s="20" t="inlineStr">
        <is>
          <t>Voir</t>
        </is>
      </c>
      <c r="L219" s="21" t="inlineStr">
        <is>
          <t>À étudier</t>
        </is>
      </c>
      <c r="M219" s="21" t="n"/>
      <c r="N219" s="21" t="n"/>
      <c r="O219" s="21" t="inlineStr">
        <is>
          <t>Correspondance : Possible ; vérifiée : Oui ; publiée le 2026-07-15</t>
        </is>
      </c>
      <c r="P219" s="15" t="inlineStr">
        <is>
          <t>RFQ (12/10)</t>
        </is>
      </c>
    </row>
    <row r="220" ht="68.25" customHeight="1" s="13">
      <c r="A220" s="15" t="n">
        <v>219</v>
      </c>
      <c r="B220" s="15" t="inlineStr">
        <is>
          <t>Acheteur export (RFQ)</t>
        </is>
      </c>
      <c r="C220" s="15" t="n">
        <v>2</v>
      </c>
      <c r="D220" s="15" t="inlineStr">
        <is>
          <t>Demande StoneContact</t>
        </is>
      </c>
      <c r="E220" s="15" t="inlineStr">
        <is>
          <t>Sinai Pearl Limestone - Beige Limestone</t>
        </is>
      </c>
      <c r="F220" s="15" t="n"/>
      <c r="G220" s="15" t="inlineStr">
        <is>
          <t>Export</t>
        </is>
      </c>
      <c r="H220" s="15" t="inlineStr">
        <is>
          <t>Sinai Pearl limestone (Egyptian), for a trader's client — quantité : 4,000 m² — format : None. Négociant qui cherche du calcaire beige égyptien pour un client : piste pour proposer MINYALA en alternative, mais 4 000 m² dépasse probablement le stock. Destination et date non indiquées.</t>
        </is>
      </c>
      <c r="I220" s="15" t="n"/>
      <c r="J220" s="15" t="n"/>
      <c r="K220" s="20" t="inlineStr">
        <is>
          <t>Voir</t>
        </is>
      </c>
      <c r="L220" s="21" t="inlineStr">
        <is>
          <t>À étudier</t>
        </is>
      </c>
      <c r="M220" s="21" t="n"/>
      <c r="N220" s="21" t="n"/>
      <c r="O220" s="21" t="inlineStr">
        <is>
          <t>Correspondance : Possible ; vérifiée : Non (StoneContact bloqué) ; publiée le None</t>
        </is>
      </c>
      <c r="P220" s="15" t="inlineStr">
        <is>
          <t>RFQ (12/10)</t>
        </is>
      </c>
    </row>
    <row r="221" ht="54.75" customHeight="1" s="13">
      <c r="A221" s="15" t="n">
        <v>220</v>
      </c>
      <c r="B221" s="15" t="inlineStr">
        <is>
          <t>Acheteur export (RFQ)</t>
        </is>
      </c>
      <c r="C221" s="15" t="n">
        <v>2</v>
      </c>
      <c r="D221" s="15" t="inlineStr">
        <is>
          <t>Demande StoneContact</t>
        </is>
      </c>
      <c r="E221" s="15" t="inlineStr">
        <is>
          <t>Sinai Pearl Limestone - Tumbled Limestone - Egyptian Limestone Supplier from Egypt</t>
        </is>
      </c>
      <c r="F221" s="15" t="n"/>
      <c r="G221" s="15" t="inlineStr">
        <is>
          <t>Export</t>
        </is>
      </c>
      <c r="H221" s="15" t="inlineStr">
        <is>
          <t>Sinai Pearl limestone tiles (Egyptian) — quantité : 100 to 200 m² — format : preferably 600x900 mm. Petit volume (100 à 200 m²) de calcaire égyptien, adapté à un stock disponible. Format souhaité 60x90, destination non indiquée, demande non datée.</t>
        </is>
      </c>
      <c r="I221" s="15" t="n"/>
      <c r="J221" s="15" t="n"/>
      <c r="K221" s="20" t="inlineStr">
        <is>
          <t>Voir</t>
        </is>
      </c>
      <c r="L221" s="21" t="inlineStr">
        <is>
          <t>À étudier</t>
        </is>
      </c>
      <c r="M221" s="21" t="n"/>
      <c r="N221" s="21" t="n"/>
      <c r="O221" s="21" t="inlineStr">
        <is>
          <t>Correspondance : Possible ; vérifiée : Non (StoneContact bloqué) ; publiée le None</t>
        </is>
      </c>
      <c r="P221" s="15" t="inlineStr">
        <is>
          <t>RFQ (12/10)</t>
        </is>
      </c>
    </row>
    <row r="222" ht="68.25" customHeight="1" s="13">
      <c r="A222" s="15" t="n">
        <v>221</v>
      </c>
      <c r="B222" s="15" t="inlineStr">
        <is>
          <t>Acheteur export (RFQ)</t>
        </is>
      </c>
      <c r="C222" s="15" t="n">
        <v>2</v>
      </c>
      <c r="D222" s="15" t="inlineStr">
        <is>
          <t>Demande StoneContact</t>
        </is>
      </c>
      <c r="E222" s="15" t="inlineStr">
        <is>
          <t>Sinai Pearl Limestone Tiles &amp; Slabs, Grey Limestone Egypt Polished Floor Covering Tiles, Walling Tiles from Egypt</t>
        </is>
      </c>
      <c r="F222" s="15" t="inlineStr">
        <is>
          <t>Cardiff, Wales, UK</t>
        </is>
      </c>
      <c r="G222" s="15" t="inlineStr">
        <is>
          <t>Export</t>
        </is>
      </c>
      <c r="H222" s="15" t="inlineStr">
        <is>
          <t>Honed Sinai Pearl limestone tiles — quantité : 30 m² — format : 600x400x15 mm, honed. Petit volume (30 m², au-dessus du minimum de 25 m²) de calcaire égyptien adouci livré au Royaume-Uni : MINYALA peut proposer le 30x60x2 comme alternative au 60x40x1,5. Demande non datée.</t>
        </is>
      </c>
      <c r="I222" s="15" t="n"/>
      <c r="J222" s="15" t="n"/>
      <c r="K222" s="20" t="inlineStr">
        <is>
          <t>Voir</t>
        </is>
      </c>
      <c r="L222" s="21" t="inlineStr">
        <is>
          <t>À étudier</t>
        </is>
      </c>
      <c r="M222" s="21" t="n"/>
      <c r="N222" s="21" t="n"/>
      <c r="O222" s="21" t="inlineStr">
        <is>
          <t>Correspondance : Possible ; vérifiée : Non (StoneContact bloqué) ; publiée le None</t>
        </is>
      </c>
      <c r="P222" s="15" t="inlineStr">
        <is>
          <t>RFQ (12/10)</t>
        </is>
      </c>
    </row>
    <row r="223" ht="95.25" customHeight="1" s="13">
      <c r="A223" s="15" t="n">
        <v>222</v>
      </c>
      <c r="B223" s="15" t="inlineStr">
        <is>
          <t>Acheteur export (RFQ)</t>
        </is>
      </c>
      <c r="C223" s="15" t="n">
        <v>2</v>
      </c>
      <c r="D223" s="15" t="inlineStr">
        <is>
          <t>Demande StoneContact</t>
        </is>
      </c>
      <c r="E223" s="15" t="inlineStr">
        <is>
          <t>Sunny Menia Marble Slabs, Tiles from Egypt</t>
        </is>
      </c>
      <c r="F223" s="15" t="inlineStr">
        <is>
          <t>Barcelona, Spain (CIF)</t>
        </is>
      </c>
      <c r="G223" s="15" t="inlineStr">
        <is>
          <t>Export</t>
        </is>
      </c>
      <c r="H223" s="15" t="inlineStr">
        <is>
          <t>Slabs and tiles 2-4 cm thick in various formats, 'specially Sinai Pearl or similar' (on a Sunny Menia listing) — quantité : None — format : 2, 3 and 4 cm; various formats. Acheteur espagnol (CIF Barcelone) intéressé par la pierre beige égyptienne « Sinai Pearl ou similaire » sur une annonce Sunny Menia : même famille que MINYALA seulement si l'origine Minya est confirmée. Formats variés de 2 à 4 cm ; demande non datée.</t>
        </is>
      </c>
      <c r="I223" s="15" t="n"/>
      <c r="J223" s="15" t="n"/>
      <c r="K223" s="20" t="inlineStr">
        <is>
          <t>Voir</t>
        </is>
      </c>
      <c r="L223" s="21" t="inlineStr">
        <is>
          <t>À étudier</t>
        </is>
      </c>
      <c r="M223" s="21" t="n"/>
      <c r="N223" s="21" t="n"/>
      <c r="O223" s="21" t="inlineStr">
        <is>
          <t>Correspondance : Possible ; vérifiée : Non (StoneContact bloqué) ; publiée le None</t>
        </is>
      </c>
      <c r="P223" s="15" t="inlineStr">
        <is>
          <t>RFQ (12/10)</t>
        </is>
      </c>
    </row>
    <row r="224" ht="68.25" customHeight="1" s="13">
      <c r="A224" s="15" t="n">
        <v>223</v>
      </c>
      <c r="B224" s="15" t="inlineStr">
        <is>
          <t>Acheteur export (RFQ)</t>
        </is>
      </c>
      <c r="C224" s="15" t="n">
        <v>2</v>
      </c>
      <c r="D224" s="15" t="inlineStr">
        <is>
          <t>Demande go4WorldBusiness</t>
        </is>
      </c>
      <c r="E224" s="15" t="inlineStr">
        <is>
          <t>Wanted : Marble</t>
        </is>
      </c>
      <c r="F224" s="15" t="inlineStr">
        <is>
          <t>Espagne</t>
        </is>
      </c>
      <c r="G224" s="15" t="inlineStr">
        <is>
          <t>Export</t>
        </is>
      </c>
      <c r="H224" s="15" t="inlineStr">
        <is>
          <t>Marbre blanc ou crème, dimensions sur mesure — quantité : 1 conteneur 20' — format : sur mesure. Acheteur espagnol qui cherche du marbre crème et préfère un fournisseur européen, ce qui avantage un vendeur basé en France. Le volume (1 conteneur 20') dépasse sans doute le stock, et le paiement se fait FOB par virement.</t>
        </is>
      </c>
      <c r="I224" s="15" t="n"/>
      <c r="J224" s="15" t="n"/>
      <c r="K224" s="20" t="inlineStr">
        <is>
          <t>Voir</t>
        </is>
      </c>
      <c r="L224" s="21" t="inlineStr">
        <is>
          <t>À étudier</t>
        </is>
      </c>
      <c r="M224" s="21" t="n"/>
      <c r="N224" s="21" t="n"/>
      <c r="O224" s="21" t="inlineStr">
        <is>
          <t>Correspondance : Possible ; vérifiée : Oui ; publiée le 2026-07-09</t>
        </is>
      </c>
      <c r="P224" s="15" t="inlineStr">
        <is>
          <t>RFQ (12/10)</t>
        </is>
      </c>
    </row>
    <row r="225" ht="68.25" customHeight="1" s="13">
      <c r="A225" s="15" t="n">
        <v>224</v>
      </c>
      <c r="B225" s="15" t="inlineStr">
        <is>
          <t>Acheteur export (RFQ)</t>
        </is>
      </c>
      <c r="C225" s="15" t="n">
        <v>2</v>
      </c>
      <c r="D225" s="15" t="inlineStr">
        <is>
          <t>Demande go4WorldBusiness</t>
        </is>
      </c>
      <c r="E225" s="15" t="inlineStr">
        <is>
          <t>Wanted : Natural Stones Like Sandstone, Limestone</t>
        </is>
      </c>
      <c r="F225" s="15" t="inlineStr">
        <is>
          <t>Allemagne</t>
        </is>
      </c>
      <c r="G225" s="15" t="inlineStr">
        <is>
          <t>Export</t>
        </is>
      </c>
      <c r="H225" s="15" t="inlineStr">
        <is>
          <t>Grès, calcaire et mosaïques de pierre naturelle, tailles sur mesure — quantité : 1 conteneur 20' — format : sur mesure. Acheteur allemand qui inclut le calcaire en tailles sur mesure. La quantité (1 conteneur 20') et la couleur ne sont pas précisées. L'annonce, du 26 juin, approche de sa date d'expiration.</t>
        </is>
      </c>
      <c r="I225" s="15" t="n"/>
      <c r="J225" s="15" t="n"/>
      <c r="K225" s="20" t="inlineStr">
        <is>
          <t>Voir</t>
        </is>
      </c>
      <c r="L225" s="21" t="inlineStr">
        <is>
          <t>À étudier</t>
        </is>
      </c>
      <c r="M225" s="21" t="n"/>
      <c r="N225" s="21" t="n"/>
      <c r="O225" s="21" t="inlineStr">
        <is>
          <t>Correspondance : Possible ; vérifiée : Oui ; publiée le 2026-06-26</t>
        </is>
      </c>
      <c r="P225" s="15" t="inlineStr">
        <is>
          <t>RFQ (12/10)</t>
        </is>
      </c>
    </row>
    <row r="226" ht="68.25" customHeight="1" s="13">
      <c r="A226" s="15" t="n">
        <v>225</v>
      </c>
      <c r="B226" s="15" t="inlineStr">
        <is>
          <t>Acheteur export (RFQ)</t>
        </is>
      </c>
      <c r="C226" s="15" t="n">
        <v>2</v>
      </c>
      <c r="D226" s="15" t="inlineStr">
        <is>
          <t>Demande go4WorldBusiness</t>
        </is>
      </c>
      <c r="E226" s="15" t="inlineStr">
        <is>
          <t>Wanted : Stone Articles Like Marble, Granite, Limestone</t>
        </is>
      </c>
      <c r="F226" s="15" t="inlineStr">
        <is>
          <t>France</t>
        </is>
      </c>
      <c r="G226" s="15" t="inlineStr">
        <is>
          <t>Export</t>
        </is>
      </c>
      <c r="H226" s="15" t="inlineStr">
        <is>
          <t>Articles en pierre (marbre, granit, calcaire, ardoise) pour la construction et la revente (HS 680299) — quantité : 1 conteneur 20' — format : non précisé. Acheteur en France qui inclut le calcaire, pour la revente et la distribution. Le produit reste vague (articles décoratifs) et porte sur 1 conteneur 20'. La proximité est un atout.</t>
        </is>
      </c>
      <c r="I226" s="15" t="n"/>
      <c r="J226" s="15" t="n"/>
      <c r="K226" s="20" t="inlineStr">
        <is>
          <t>Voir</t>
        </is>
      </c>
      <c r="L226" s="21" t="inlineStr">
        <is>
          <t>À étudier</t>
        </is>
      </c>
      <c r="M226" s="21" t="n"/>
      <c r="N226" s="21" t="n"/>
      <c r="O226" s="21" t="inlineStr">
        <is>
          <t>Correspondance : Possible ; vérifiée : Oui ; publiée le 2026-09-29</t>
        </is>
      </c>
      <c r="P226" s="15" t="inlineStr">
        <is>
          <t>RFQ (12/10)</t>
        </is>
      </c>
    </row>
    <row r="227" ht="81.75" customHeight="1" s="13">
      <c r="A227" s="15" t="n">
        <v>226</v>
      </c>
      <c r="B227" s="15" t="inlineStr">
        <is>
          <t>Acheteur export (RFQ)</t>
        </is>
      </c>
      <c r="C227" s="15" t="n">
        <v>2</v>
      </c>
      <c r="D227" s="15" t="inlineStr">
        <is>
          <t>Demande StoneContact</t>
        </is>
      </c>
      <c r="E227" s="15" t="inlineStr">
        <is>
          <t>Westhill Limestone Honed Tiles from United Kingdom</t>
        </is>
      </c>
      <c r="F227" s="15" t="inlineStr">
        <is>
          <t>London, UK</t>
        </is>
      </c>
      <c r="G227" s="15" t="inlineStr">
        <is>
          <t>Export</t>
        </is>
      </c>
      <c r="H227" s="15" t="inlineStr">
        <is>
          <t>Honed beige limestone tiles (Westhill), larger formats around 1000x500 also asked about — quantité : about 63 m² — format : honed; asks about about 1000x500. Calcaire beige adouci pour une rénovation à Londres, environ 63 m² : petit volume compatible avec le stock. L'acheteur demande un prix au m² ; il vise une pierre précise et peut-être un grand format.</t>
        </is>
      </c>
      <c r="I227" s="15" t="n"/>
      <c r="J227" s="15" t="n"/>
      <c r="K227" s="20" t="inlineStr">
        <is>
          <t>Voir</t>
        </is>
      </c>
      <c r="L227" s="21" t="inlineStr">
        <is>
          <t>À étudier</t>
        </is>
      </c>
      <c r="M227" s="21" t="n"/>
      <c r="N227" s="21" t="n"/>
      <c r="O227" s="21" t="inlineStr">
        <is>
          <t>Correspondance : Possible ; vérifiée : Non (StoneContact bloqué) ; publiée le page dated 2025-02-08 (request date not confirmed)</t>
        </is>
      </c>
      <c r="P227" s="15" t="inlineStr">
        <is>
          <t>RFQ (12/10)</t>
        </is>
      </c>
    </row>
    <row r="228" ht="81.75" customHeight="1" s="13">
      <c r="A228" s="15" t="n">
        <v>227</v>
      </c>
      <c r="B228" s="15" t="inlineStr">
        <is>
          <t>Acheteur export (RFQ)</t>
        </is>
      </c>
      <c r="C228" s="15" t="n">
        <v>3</v>
      </c>
      <c r="D228" s="15" t="inlineStr">
        <is>
          <t>Demande StoneAdd</t>
        </is>
      </c>
      <c r="E228" s="15" t="inlineStr">
        <is>
          <t>Bulk Inquiry - 11000 M2 Beige Marble Slabs 60x120cmx2cm EXW Factory</t>
        </is>
      </c>
      <c r="F228" s="15" t="inlineStr">
        <is>
          <t>Égypte</t>
        </is>
      </c>
      <c r="G228" s="15" t="inlineStr">
        <is>
          <t>Export</t>
        </is>
      </c>
      <c r="H228" s="15" t="inlineStr">
        <is>
          <t>Plaques de marbre beige clair/crème 60×120×2 cm pour façade, type Silvia Menia ou Sunny Light — quantité : 11 000 m² — format : 60×120×2 cm. La pierre de référence vient de Minya (lien avec MINYALA à confirmer), mais l'acheteur est en Égypte, achète EXW usine et veut 11 000 m² en 60×120. Sans rapport avec un stock de 30×60 à Paris.</t>
        </is>
      </c>
      <c r="I228" s="15" t="n"/>
      <c r="J228" s="15" t="n"/>
      <c r="K228" s="20" t="inlineStr">
        <is>
          <t>Voir</t>
        </is>
      </c>
      <c r="L228" s="21" t="inlineStr">
        <is>
          <t>À étudier</t>
        </is>
      </c>
      <c r="M228" s="21" t="n"/>
      <c r="N228" s="21" t="n"/>
      <c r="O228" s="21" t="inlineStr">
        <is>
          <t>Correspondance : Faible ; vérifiée : Oui ; publiée le 2026-08-31</t>
        </is>
      </c>
      <c r="P228" s="15" t="inlineStr">
        <is>
          <t>RFQ (12/10)</t>
        </is>
      </c>
    </row>
    <row r="229" ht="54.75" customHeight="1" s="13">
      <c r="A229" s="15" t="n">
        <v>228</v>
      </c>
      <c r="B229" s="15" t="inlineStr">
        <is>
          <t>Acheteur export (RFQ)</t>
        </is>
      </c>
      <c r="C229" s="15" t="n">
        <v>3</v>
      </c>
      <c r="D229" s="15" t="inlineStr">
        <is>
          <t>Demande StoneContact</t>
        </is>
      </c>
      <c r="E229" s="15" t="inlineStr">
        <is>
          <t>Buyers from France - Global Stone Buyer Center (RFQ for limestone stone veneer)</t>
        </is>
      </c>
      <c r="F229" s="15" t="inlineStr">
        <is>
          <t>France</t>
        </is>
      </c>
      <c r="G229" s="15" t="inlineStr">
        <is>
          <t>Export</t>
        </is>
      </c>
      <c r="H229" s="15" t="inlineStr">
        <is>
          <t>Glued stone veneer in Anstrude Clair and Massangis Clair limestone — quantité : None — format : veneer. Acheteur en France, mais le produit demandé est un placage collé en pierres françaises précises (Anstrude, Massangis), pas du carrelage 30x60.</t>
        </is>
      </c>
      <c r="I229" s="15" t="n"/>
      <c r="J229" s="15" t="n"/>
      <c r="K229" s="20" t="inlineStr">
        <is>
          <t>Voir</t>
        </is>
      </c>
      <c r="L229" s="21" t="inlineStr">
        <is>
          <t>À étudier</t>
        </is>
      </c>
      <c r="M229" s="21" t="n"/>
      <c r="N229" s="21" t="n"/>
      <c r="O229" s="21" t="inlineStr">
        <is>
          <t>Correspondance : Faible ; vérifiée : Non (StoneContact bloqué) ; publiée le September 2025</t>
        </is>
      </c>
      <c r="P229" s="15" t="inlineStr">
        <is>
          <t>RFQ (12/10)</t>
        </is>
      </c>
    </row>
    <row r="230" ht="68.25" customHeight="1" s="13">
      <c r="A230" s="15" t="n">
        <v>229</v>
      </c>
      <c r="B230" s="15" t="inlineStr">
        <is>
          <t>Acheteur export (RFQ)</t>
        </is>
      </c>
      <c r="C230" s="15" t="n">
        <v>3</v>
      </c>
      <c r="D230" s="15" t="inlineStr">
        <is>
          <t>Demande StoneContact</t>
        </is>
      </c>
      <c r="E230" s="15" t="inlineStr">
        <is>
          <t>Buyers from Germany - Global Stone Buyer Center (Inquire About Verona Beige Marble)</t>
        </is>
      </c>
      <c r="F230" s="15" t="inlineStr">
        <is>
          <t>Germany</t>
        </is>
      </c>
      <c r="G230" s="15" t="inlineStr">
        <is>
          <t>Export</t>
        </is>
      </c>
      <c r="H230" s="15" t="inlineStr">
        <is>
          <t>Verona Beige marble, regular supply wanted — quantité : regular supply (no quantity stated) — format : None. Importateur allemand qui cherche une pierre beige en approvisionnement régulier : on peut le contacter, mais il demande un marbre précis (Verona Beige, Pakistan), pas du calcaire égyptien.</t>
        </is>
      </c>
      <c r="I230" s="15" t="n"/>
      <c r="J230" s="15" t="n"/>
      <c r="K230" s="20" t="inlineStr">
        <is>
          <t>Voir</t>
        </is>
      </c>
      <c r="L230" s="21" t="inlineStr">
        <is>
          <t>À étudier</t>
        </is>
      </c>
      <c r="M230" s="21" t="n"/>
      <c r="N230" s="21" t="n"/>
      <c r="O230" s="21" t="inlineStr">
        <is>
          <t>Correspondance : Faible ; vérifiée : Non (StoneContact bloqué) ; publiée le Jul 23, 2026</t>
        </is>
      </c>
      <c r="P230" s="15" t="inlineStr">
        <is>
          <t>RFQ (12/10)</t>
        </is>
      </c>
    </row>
    <row r="231" ht="54.75" customHeight="1" s="13">
      <c r="A231" s="15" t="n">
        <v>230</v>
      </c>
      <c r="B231" s="15" t="inlineStr">
        <is>
          <t>Acheteur export (RFQ)</t>
        </is>
      </c>
      <c r="C231" s="15" t="n">
        <v>3</v>
      </c>
      <c r="D231" s="15" t="inlineStr">
        <is>
          <t>Demande StoneContact</t>
        </is>
      </c>
      <c r="E231" s="15" t="inlineStr">
        <is>
          <t>Buyers from Italy - Global Stone Buyer Center (Caliza Capri Limestone)</t>
        </is>
      </c>
      <c r="F231" s="15" t="inlineStr">
        <is>
          <t>Italy</t>
        </is>
      </c>
      <c r="G231" s="15" t="inlineStr">
        <is>
          <t>Export</t>
        </is>
      </c>
      <c r="H231" s="15" t="inlineStr">
        <is>
          <t>Caliza Capri limestone blocks (about 2 for a trial) — quantité : about 2 blocks for a trial — format : blocks. Acheteur en Italie (août 2026), mais il demande des blocs d'un calcaire précis : sans intérêt pour un stock de carreaux.</t>
        </is>
      </c>
      <c r="I231" s="15" t="n"/>
      <c r="J231" s="15" t="n"/>
      <c r="K231" s="20" t="inlineStr">
        <is>
          <t>Voir</t>
        </is>
      </c>
      <c r="L231" s="21" t="inlineStr">
        <is>
          <t>À étudier</t>
        </is>
      </c>
      <c r="M231" s="21" t="n"/>
      <c r="N231" s="21" t="n"/>
      <c r="O231" s="21" t="inlineStr">
        <is>
          <t>Correspondance : Faible ; vérifiée : Non (StoneContact bloqué) ; publiée le Aug 4, 2026</t>
        </is>
      </c>
      <c r="P231" s="15" t="inlineStr">
        <is>
          <t>RFQ (12/10)</t>
        </is>
      </c>
    </row>
    <row r="232" ht="41.25" customHeight="1" s="13">
      <c r="A232" s="15" t="n">
        <v>231</v>
      </c>
      <c r="B232" s="15" t="inlineStr">
        <is>
          <t>Acheteur export (RFQ)</t>
        </is>
      </c>
      <c r="C232" s="15" t="n">
        <v>3</v>
      </c>
      <c r="D232" s="15" t="inlineStr">
        <is>
          <t>Demande StoneContact</t>
        </is>
      </c>
      <c r="E232" s="15" t="inlineStr">
        <is>
          <t>Buyers from Kuwait - Global Stone Buyer Center (Kota Beige Limestone)</t>
        </is>
      </c>
      <c r="F232" s="15" t="inlineStr">
        <is>
          <t>Kuwait</t>
        </is>
      </c>
      <c r="G232" s="15" t="inlineStr">
        <is>
          <t>Export</t>
        </is>
      </c>
      <c r="H232" s="15" t="inlineStr">
        <is>
          <t>Kota Beige limestone (India) for exterior walls — quantité : 100 m² — format : 60x120x3 cm. Calcaire beige, 100 m², mais destination Koweït, format 60x120x3 et pierre indienne précise.</t>
        </is>
      </c>
      <c r="I232" s="15" t="n"/>
      <c r="J232" s="15" t="n"/>
      <c r="K232" s="20" t="inlineStr">
        <is>
          <t>Voir</t>
        </is>
      </c>
      <c r="L232" s="21" t="inlineStr">
        <is>
          <t>À étudier</t>
        </is>
      </c>
      <c r="M232" s="21" t="n"/>
      <c r="N232" s="21" t="n"/>
      <c r="O232" s="21" t="inlineStr">
        <is>
          <t>Correspondance : Faible ; vérifiée : Non (StoneContact bloqué) ; publiée le July 2026 (Jul 11, 2026)</t>
        </is>
      </c>
      <c r="P232" s="15" t="inlineStr">
        <is>
          <t>RFQ (12/10)</t>
        </is>
      </c>
    </row>
    <row r="233" ht="54.75" customHeight="1" s="13">
      <c r="A233" s="15" t="n">
        <v>232</v>
      </c>
      <c r="B233" s="15" t="inlineStr">
        <is>
          <t>Acheteur export (RFQ)</t>
        </is>
      </c>
      <c r="C233" s="15" t="n">
        <v>3</v>
      </c>
      <c r="D233" s="15" t="inlineStr">
        <is>
          <t>Demande StoneContact</t>
        </is>
      </c>
      <c r="E233" s="15" t="inlineStr">
        <is>
          <t>Buyers from Kuwait - Global Stone Buyer Center (Turkish light limestone)</t>
        </is>
      </c>
      <c r="F233" s="15" t="inlineStr">
        <is>
          <t>Kuwait</t>
        </is>
      </c>
      <c r="G233" s="15" t="inlineStr">
        <is>
          <t>Export</t>
        </is>
      </c>
      <c r="H233" s="15" t="inlineStr">
        <is>
          <t>Turkish light limestone, off-white, honed tiles — quantité : about 2,000 m² — format : 40x80x3 cm, honed. Calcaire clair adouci, 2 000 m² (mars 2026), mais destination Koweït, origine turque demandée et épaisseur 3 cm.</t>
        </is>
      </c>
      <c r="I233" s="15" t="n"/>
      <c r="J233" s="15" t="n"/>
      <c r="K233" s="20" t="inlineStr">
        <is>
          <t>Voir</t>
        </is>
      </c>
      <c r="L233" s="21" t="inlineStr">
        <is>
          <t>À étudier</t>
        </is>
      </c>
      <c r="M233" s="21" t="n"/>
      <c r="N233" s="21" t="n"/>
      <c r="O233" s="21" t="inlineStr">
        <is>
          <t>Correspondance : Faible ; vérifiée : Non (StoneContact bloqué) ; publiée le Mar 9, 2026</t>
        </is>
      </c>
      <c r="P233" s="15" t="inlineStr">
        <is>
          <t>RFQ (12/10)</t>
        </is>
      </c>
    </row>
    <row r="234" ht="54.75" customHeight="1" s="13">
      <c r="A234" s="15" t="n">
        <v>233</v>
      </c>
      <c r="B234" s="15" t="inlineStr">
        <is>
          <t>Acheteur export (RFQ)</t>
        </is>
      </c>
      <c r="C234" s="15" t="n">
        <v>3</v>
      </c>
      <c r="D234" s="15" t="inlineStr">
        <is>
          <t>Demande StoneContact</t>
        </is>
      </c>
      <c r="E234" s="15" t="inlineStr">
        <is>
          <t>Buyers from Portugal - Global Stone Buyer Center (RFQ for Victory Beige Marble)</t>
        </is>
      </c>
      <c r="F234" s="15" t="inlineStr">
        <is>
          <t>Portugal</t>
        </is>
      </c>
      <c r="G234" s="15" t="inlineStr">
        <is>
          <t>Export</t>
        </is>
      </c>
      <c r="H234" s="15" t="inlineStr">
        <is>
          <t>Victory Beige marble slabs, 2 cm, honed — quantité : None — format : slabs, 2 cm, honed. Demande très récente (oct. 2026) d'une pierre beige de 2 cm adoucie au Portugal, mais en tranches et en marbre précis : substitution par du carrelage 30x60 peu probable.</t>
        </is>
      </c>
      <c r="I234" s="15" t="n"/>
      <c r="J234" s="15" t="n"/>
      <c r="K234" s="20" t="inlineStr">
        <is>
          <t>Voir</t>
        </is>
      </c>
      <c r="L234" s="21" t="inlineStr">
        <is>
          <t>À étudier</t>
        </is>
      </c>
      <c r="M234" s="21" t="n"/>
      <c r="N234" s="21" t="n"/>
      <c r="O234" s="21" t="inlineStr">
        <is>
          <t>Correspondance : Faible ; vérifiée : Non (StoneContact bloqué) ; publiée le Oct 8, 2026</t>
        </is>
      </c>
      <c r="P234" s="15" t="inlineStr">
        <is>
          <t>RFQ (12/10)</t>
        </is>
      </c>
    </row>
    <row r="235" ht="54.75" customHeight="1" s="13">
      <c r="A235" s="15" t="n">
        <v>234</v>
      </c>
      <c r="B235" s="15" t="inlineStr">
        <is>
          <t>Acheteur export (RFQ)</t>
        </is>
      </c>
      <c r="C235" s="15" t="n">
        <v>3</v>
      </c>
      <c r="D235" s="15" t="inlineStr">
        <is>
          <t>Demande StoneContact</t>
        </is>
      </c>
      <c r="E235" s="15" t="inlineStr">
        <is>
          <t>Buyers from Saudi Arabia - Global Stone Buyer Center (Riyadh Stone or similar beige limestone, facades)</t>
        </is>
      </c>
      <c r="F235" s="15" t="inlineStr">
        <is>
          <t>Saudi Arabia</t>
        </is>
      </c>
      <c r="G235" s="15" t="inlineStr">
        <is>
          <t>Export</t>
        </is>
      </c>
      <c r="H235" s="15" t="inlineStr">
        <is>
          <t>Riyadh Stone or a similar beige limestone for facades — quantité : 45,000 m² — format : 60x30 cm, thickness to be confirmed. Calcaire beige en 60x30, mais volume énorme (45 000 m²), destination Arabie saoudite et préférence déclarée pour des fournisseurs saoudiens.</t>
        </is>
      </c>
      <c r="I235" s="15" t="n"/>
      <c r="J235" s="15" t="n"/>
      <c r="K235" s="20" t="inlineStr">
        <is>
          <t>Voir</t>
        </is>
      </c>
      <c r="L235" s="21" t="inlineStr">
        <is>
          <t>À étudier</t>
        </is>
      </c>
      <c r="M235" s="21" t="n"/>
      <c r="N235" s="21" t="n"/>
      <c r="O235" s="21" t="inlineStr">
        <is>
          <t>Correspondance : Faible ; vérifiée : Non (StoneContact bloqué) ; publiée le April 2026</t>
        </is>
      </c>
      <c r="P235" s="15" t="inlineStr">
        <is>
          <t>RFQ (12/10)</t>
        </is>
      </c>
    </row>
    <row r="236" ht="68.25" customHeight="1" s="13">
      <c r="A236" s="15" t="n">
        <v>235</v>
      </c>
      <c r="B236" s="15" t="inlineStr">
        <is>
          <t>Acheteur export (RFQ)</t>
        </is>
      </c>
      <c r="C236" s="15" t="n">
        <v>3</v>
      </c>
      <c r="D236" s="15" t="inlineStr">
        <is>
          <t>Demande StoneContact</t>
        </is>
      </c>
      <c r="E236" s="15" t="inlineStr">
        <is>
          <t>Buyers from United States - Global Stone Buyer Center (Jura Beige Limestone)</t>
        </is>
      </c>
      <c r="F236" s="15" t="inlineStr">
        <is>
          <t>United States</t>
        </is>
      </c>
      <c r="G236" s="15" t="inlineStr">
        <is>
          <t>Export</t>
        </is>
      </c>
      <c r="H236" s="15" t="inlineStr">
        <is>
          <t>Jura Beige limestone, large-format tiles and slabs, leather finish, interior flooring — quantité : about 10,000 sq ft — format : 24x48 in, 1/2 in, leather finish. Calcaire beige chaud pour sol intérieur (juillet 2026), mais destination États-Unis, format 24x48 pouces et grand volume.</t>
        </is>
      </c>
      <c r="I236" s="15" t="n"/>
      <c r="J236" s="15" t="n"/>
      <c r="K236" s="20" t="inlineStr">
        <is>
          <t>Voir</t>
        </is>
      </c>
      <c r="L236" s="21" t="inlineStr">
        <is>
          <t>À étudier</t>
        </is>
      </c>
      <c r="M236" s="21" t="n"/>
      <c r="N236" s="21" t="n"/>
      <c r="O236" s="21" t="inlineStr">
        <is>
          <t>Correspondance : Faible ; vérifiée : Non (StoneContact bloqué) ; publiée le July 2026</t>
        </is>
      </c>
      <c r="P236" s="15" t="inlineStr">
        <is>
          <t>RFQ (12/10)</t>
        </is>
      </c>
    </row>
    <row r="237" ht="68.25" customHeight="1" s="13">
      <c r="A237" s="15" t="n">
        <v>236</v>
      </c>
      <c r="B237" s="15" t="inlineStr">
        <is>
          <t>Acheteur export (RFQ)</t>
        </is>
      </c>
      <c r="C237" s="15" t="n">
        <v>3</v>
      </c>
      <c r="D237" s="15" t="inlineStr">
        <is>
          <t>Demande TradeKey</t>
        </is>
      </c>
      <c r="E237" s="15" t="inlineStr">
        <is>
          <t>DEMANDE PRIX</t>
        </is>
      </c>
      <c r="F237" s="15" t="inlineStr">
        <is>
          <t>France</t>
        </is>
      </c>
      <c r="G237" s="15" t="inlineStr">
        <is>
          <t>Export</t>
        </is>
      </c>
      <c r="H237" s="15" t="inlineStr">
        <is>
          <t>Plaque de marbre 60×70 cm pour une salle d'exposition — quantité : 1 à 10 plaques, puis prix au m² — format : 60×70 cm. Acheteur en France qui veut un prix livré, mais la quantité est minime (1 à 10 plaques) et le format 60×70 diffère du 30×60. Réponse réservée aux membres payants. Les dates TradeKey semblent rafraîchies.</t>
        </is>
      </c>
      <c r="I237" s="15" t="n"/>
      <c r="J237" s="15" t="n"/>
      <c r="K237" s="20" t="inlineStr">
        <is>
          <t>Voir</t>
        </is>
      </c>
      <c r="L237" s="21" t="inlineStr">
        <is>
          <t>À étudier</t>
        </is>
      </c>
      <c r="M237" s="21" t="n"/>
      <c r="N237" s="21" t="n"/>
      <c r="O237" s="21" t="inlineStr">
        <is>
          <t>Correspondance : Faible ; vérifiée : Oui ; publiée le 2026-09-01</t>
        </is>
      </c>
      <c r="P237" s="15" t="inlineStr">
        <is>
          <t>RFQ (12/10)</t>
        </is>
      </c>
    </row>
    <row r="238" ht="81.75" customHeight="1" s="13">
      <c r="A238" s="15" t="n">
        <v>237</v>
      </c>
      <c r="B238" s="15" t="inlineStr">
        <is>
          <t>Acheteur export (RFQ)</t>
        </is>
      </c>
      <c r="C238" s="15" t="n">
        <v>3</v>
      </c>
      <c r="D238" s="15" t="inlineStr">
        <is>
          <t>Demande Alibaba RFQ</t>
        </is>
      </c>
      <c r="E238" s="15" t="inlineStr">
        <is>
          <t>DIY Interlock Modern Outdoor Anti-slip Stone Deck Tile Floor Marble Tile Limestone Deck Tile Stone ...</t>
        </is>
      </c>
      <c r="F238" s="15" t="inlineStr">
        <is>
          <t>Londres, Royaume-Uni</t>
        </is>
      </c>
      <c r="G238" s="15" t="inlineStr">
        <is>
          <t>Export</t>
        </is>
      </c>
      <c r="H238" s="15" t="inlineStr">
        <is>
          <t>Dalles clipsables en travertin beige 300×300×20 sur base plastique (réf. fournisseur PBST-008) — quantité : 155 pièces — format : 300×300×20 mm (10 mm de pierre et 10 mm de plastique). Destination Londres et petite quantité, mais l'acheteur veut un produit précis : des dalles de travertin clipsables sur support plastique, différentes de la Minyala.</t>
        </is>
      </c>
      <c r="I238" s="15" t="n"/>
      <c r="J238" s="15" t="n"/>
      <c r="K238" s="20" t="inlineStr">
        <is>
          <t>Voir</t>
        </is>
      </c>
      <c r="L238" s="21" t="inlineStr">
        <is>
          <t>À étudier</t>
        </is>
      </c>
      <c r="M238" s="21" t="n"/>
      <c r="N238" s="21" t="n"/>
      <c r="O238" s="21" t="inlineStr">
        <is>
          <t>Correspondance : Faible ; vérifiée : Oui ; publiée le affiché « 1 days ago » le 2026-10-12</t>
        </is>
      </c>
      <c r="P238" s="15" t="inlineStr">
        <is>
          <t>RFQ (12/10)</t>
        </is>
      </c>
    </row>
    <row r="239" ht="68.25" customHeight="1" s="13">
      <c r="A239" s="15" t="n">
        <v>238</v>
      </c>
      <c r="B239" s="15" t="inlineStr">
        <is>
          <t>Acheteur export (RFQ)</t>
        </is>
      </c>
      <c r="C239" s="15" t="n">
        <v>3</v>
      </c>
      <c r="D239" s="15" t="inlineStr">
        <is>
          <t>Demande TradeKey</t>
        </is>
      </c>
      <c r="E239" s="15" t="inlineStr">
        <is>
          <t>Floor tiles</t>
        </is>
      </c>
      <c r="F239" s="15" t="inlineStr">
        <is>
          <t>Royaume-Uni</t>
        </is>
      </c>
      <c r="G239" s="15" t="inlineStr">
        <is>
          <t>Export</t>
        </is>
      </c>
      <c r="H239" s="15" t="inlineStr">
        <is>
          <t>Carreaux de sol (tags : limestone, marble, travertine, slate…) — quantité : non précisée — format : non précisé. Acheteur au Royaume-Uni, mais la demande se résume à « I want to buy floor tiles ». Aucune spécification, et la réponse est réservée aux membres Premium.</t>
        </is>
      </c>
      <c r="I239" s="15" t="n"/>
      <c r="J239" s="15" t="n"/>
      <c r="K239" s="20" t="inlineStr">
        <is>
          <t>Voir</t>
        </is>
      </c>
      <c r="L239" s="21" t="inlineStr">
        <is>
          <t>À étudier</t>
        </is>
      </c>
      <c r="M239" s="21" t="n"/>
      <c r="N239" s="21" t="n"/>
      <c r="O239" s="21" t="inlineStr">
        <is>
          <t>Correspondance : Faible ; vérifiée : Oui ; publiée le 2026-10-08</t>
        </is>
      </c>
      <c r="P239" s="15" t="inlineStr">
        <is>
          <t>RFQ (12/10)</t>
        </is>
      </c>
    </row>
    <row r="240" ht="81.75" customHeight="1" s="13">
      <c r="A240" s="15" t="n">
        <v>239</v>
      </c>
      <c r="B240" s="15" t="inlineStr">
        <is>
          <t>Acheteur export (RFQ)</t>
        </is>
      </c>
      <c r="C240" s="15" t="n">
        <v>3</v>
      </c>
      <c r="D240" s="15" t="inlineStr">
        <is>
          <t>Demande StoneContact</t>
        </is>
      </c>
      <c r="E240" s="15" t="inlineStr">
        <is>
          <t>Global Stone Buyer Center - page 3 (RFQ for beige-cream flamed limestone cladding and paving)</t>
        </is>
      </c>
      <c r="F240" s="15" t="inlineStr">
        <is>
          <t>Egypt (per a search summary, unconfirmed)</t>
        </is>
      </c>
      <c r="G240" s="15" t="inlineStr">
        <is>
          <t>Export</t>
        </is>
      </c>
      <c r="H240" s="15" t="inlineStr">
        <is>
          <t>Beige-cream limestone, flamed finish, for cladding and paving (technical data sheets requested) — quantité : None — format : 20 mm; slabs about 140-180 x 250-300 cm; flamed. La couleur beige-crème et les 20 mm correspondent, mais la demande porte sur de grandes tranches flammées et des fiches techniques pour un projet. Destination incertaine (Égypte selon un résumé).</t>
        </is>
      </c>
      <c r="I240" s="15" t="n"/>
      <c r="J240" s="15" t="n"/>
      <c r="K240" s="20" t="inlineStr">
        <is>
          <t>Voir</t>
        </is>
      </c>
      <c r="L240" s="21" t="inlineStr">
        <is>
          <t>À étudier</t>
        </is>
      </c>
      <c r="M240" s="21" t="n"/>
      <c r="N240" s="21" t="n"/>
      <c r="O240" s="21" t="inlineStr">
        <is>
          <t>Correspondance : Faible ; vérifiée : Non (StoneContact bloqué) ; publiée le Aug 25, 2026</t>
        </is>
      </c>
      <c r="P240" s="15" t="inlineStr">
        <is>
          <t>RFQ (12/10)</t>
        </is>
      </c>
    </row>
    <row r="241" ht="54.75" customHeight="1" s="13">
      <c r="A241" s="15" t="n">
        <v>240</v>
      </c>
      <c r="B241" s="15" t="inlineStr">
        <is>
          <t>Acheteur export (RFQ)</t>
        </is>
      </c>
      <c r="C241" s="15" t="n">
        <v>3</v>
      </c>
      <c r="D241" s="15" t="inlineStr">
        <is>
          <t>Demande StoneContact</t>
        </is>
      </c>
      <c r="E241" s="15" t="inlineStr">
        <is>
          <t>Natural Stone Buyers from Qatar (Limra Limestone, villa in Doha)</t>
        </is>
      </c>
      <c r="F241" s="15" t="inlineStr">
        <is>
          <t>Doha, Qatar</t>
        </is>
      </c>
      <c r="G241" s="15" t="inlineStr">
        <is>
          <t>Export</t>
        </is>
      </c>
      <c r="H241" s="15" t="inlineStr">
        <is>
          <t>Cut-to-size Limra limestone for a villa exterior — quantité : about 2,288 m² — format : cut-to-size. Demande récente (29 sept. 2026) mais destination lointaine (Doha) et calcaire blanc turc (Limra) en dimensions sur mesure.</t>
        </is>
      </c>
      <c r="I241" s="15" t="n"/>
      <c r="J241" s="15" t="n"/>
      <c r="K241" s="20" t="inlineStr">
        <is>
          <t>Voir</t>
        </is>
      </c>
      <c r="L241" s="21" t="inlineStr">
        <is>
          <t>À étudier</t>
        </is>
      </c>
      <c r="M241" s="21" t="n"/>
      <c r="N241" s="21" t="n"/>
      <c r="O241" s="21" t="inlineStr">
        <is>
          <t>Correspondance : Faible ; vérifiée : Non (StoneContact bloqué) ; publiée le Sep 29, 2026</t>
        </is>
      </c>
      <c r="P241" s="15" t="inlineStr">
        <is>
          <t>RFQ (12/10)</t>
        </is>
      </c>
    </row>
    <row r="242" ht="54.75" customHeight="1" s="13">
      <c r="A242" s="15" t="n">
        <v>241</v>
      </c>
      <c r="B242" s="15" t="inlineStr">
        <is>
          <t>Acheteur export (RFQ)</t>
        </is>
      </c>
      <c r="C242" s="15" t="n">
        <v>3</v>
      </c>
      <c r="D242" s="15" t="inlineStr">
        <is>
          <t>Demande StoneAdd</t>
        </is>
      </c>
      <c r="E242" s="15" t="inlineStr">
        <is>
          <t>Request sample for Limestone Beige Split Face</t>
        </is>
      </c>
      <c r="F242" s="15" t="inlineStr">
        <is>
          <t>Royaume-Uni</t>
        </is>
      </c>
      <c r="G242" s="15" t="inlineStr">
        <is>
          <t>Export</t>
        </is>
      </c>
      <c r="H242" s="15" t="inlineStr">
        <is>
          <t>Échantillon de parement en calcaire beige éclaté (Bulgarie) — quantité : échantillon — format : parement éclaté. Calcaire beige pour le Royaume-Uni, mais il s'agit d'un parement mural éclaté et seulement d'une demande d'échantillon.</t>
        </is>
      </c>
      <c r="I242" s="15" t="n"/>
      <c r="J242" s="15" t="n"/>
      <c r="K242" s="20" t="inlineStr">
        <is>
          <t>Voir</t>
        </is>
      </c>
      <c r="L242" s="21" t="inlineStr">
        <is>
          <t>À étudier</t>
        </is>
      </c>
      <c r="M242" s="21" t="n"/>
      <c r="N242" s="21" t="n"/>
      <c r="O242" s="21" t="inlineStr">
        <is>
          <t>Correspondance : Faible ; vérifiée : Oui ; publiée le 2026-06-08</t>
        </is>
      </c>
      <c r="P242" s="15" t="inlineStr">
        <is>
          <t>RFQ (12/10)</t>
        </is>
      </c>
    </row>
    <row r="243" ht="54.75" customHeight="1" s="13">
      <c r="A243" s="15" t="n">
        <v>242</v>
      </c>
      <c r="B243" s="15" t="inlineStr">
        <is>
          <t>Acheteur export (RFQ)</t>
        </is>
      </c>
      <c r="C243" s="15" t="n">
        <v>3</v>
      </c>
      <c r="D243" s="15" t="inlineStr">
        <is>
          <t>Demande StoneContact</t>
        </is>
      </c>
      <c r="E243" s="15" t="inlineStr">
        <is>
          <t>Riyadh Limestone Tile from Saudi Arabia</t>
        </is>
      </c>
      <c r="F243" s="15" t="n"/>
      <c r="G243" s="15" t="inlineStr">
        <is>
          <t>Export</t>
        </is>
      </c>
      <c r="H243" s="15" t="inlineStr">
        <is>
          <t>Beige Riyadh limestone, bush-hammered — quantité : 2,700 m² — format : 30x60x3 cm, bush-hammered. Le format 30x60 correspond, mais il s'agit de pierre saoudienne de 3 cm bouchardée, avec destination probablement au Moyen-Orient.</t>
        </is>
      </c>
      <c r="I243" s="15" t="n"/>
      <c r="J243" s="15" t="n"/>
      <c r="K243" s="20" t="inlineStr">
        <is>
          <t>Voir</t>
        </is>
      </c>
      <c r="L243" s="21" t="inlineStr">
        <is>
          <t>À étudier</t>
        </is>
      </c>
      <c r="M243" s="21" t="n"/>
      <c r="N243" s="21" t="n"/>
      <c r="O243" s="21" t="inlineStr">
        <is>
          <t>Correspondance : Faible ; vérifiée : Non (StoneContact bloqué) ; publiée le about 112 days ago (relative to the index snapshot)</t>
        </is>
      </c>
      <c r="P243" s="15" t="inlineStr">
        <is>
          <t>RFQ (12/10)</t>
        </is>
      </c>
    </row>
    <row r="244" ht="81.75" customHeight="1" s="13">
      <c r="A244" s="15" t="n">
        <v>243</v>
      </c>
      <c r="B244" s="15" t="inlineStr">
        <is>
          <t>Acheteur export (RFQ)</t>
        </is>
      </c>
      <c r="C244" s="15" t="n">
        <v>3</v>
      </c>
      <c r="D244" s="15" t="inlineStr">
        <is>
          <t>Demande StoneAdd</t>
        </is>
      </c>
      <c r="E244" s="15" t="inlineStr">
        <is>
          <t>Sunny Beige Marble Tiles Quotation</t>
        </is>
      </c>
      <c r="F244" s="15" t="inlineStr">
        <is>
          <t>États-Unis</t>
        </is>
      </c>
      <c r="G244" s="15" t="inlineStr">
        <is>
          <t>Export</t>
        </is>
      </c>
      <c r="H244" s="15" t="inlineStr">
        <is>
          <t>Carreaux de Sunny Beige égyptien en petit format (2×2) — quantité : non précisée — format : 2×2 (unité non précisée). Famille Sunny de Minya (proche de MINYALA seulement si l'origine Minya est confirmée), mais l'acheteur est aux États-Unis et demande de très petits formats « 2×2 » (unité non précisée) : destination lointaine et format sans rapport.</t>
        </is>
      </c>
      <c r="I244" s="15" t="n"/>
      <c r="J244" s="15" t="n"/>
      <c r="K244" s="20" t="inlineStr">
        <is>
          <t>Voir</t>
        </is>
      </c>
      <c r="L244" s="21" t="inlineStr">
        <is>
          <t>À étudier</t>
        </is>
      </c>
      <c r="M244" s="21" t="n"/>
      <c r="N244" s="21" t="n"/>
      <c r="O244" s="21" t="inlineStr">
        <is>
          <t>Correspondance : Faible ; vérifiée : Oui (corrigée) ; publiée le 2026-05-06</t>
        </is>
      </c>
      <c r="P244" s="15" t="inlineStr">
        <is>
          <t>RFQ (12/10)</t>
        </is>
      </c>
    </row>
    <row r="245" ht="68.25" customHeight="1" s="13">
      <c r="A245" s="15" t="n">
        <v>244</v>
      </c>
      <c r="B245" s="15" t="inlineStr">
        <is>
          <t>Acheteur export (RFQ)</t>
        </is>
      </c>
      <c r="C245" s="15" t="n">
        <v>3</v>
      </c>
      <c r="D245" s="15" t="inlineStr">
        <is>
          <t>Demande StoneContact</t>
        </is>
      </c>
      <c r="E245" s="15" t="inlineStr">
        <is>
          <t>Sunny Menia Marble - Beige Marble</t>
        </is>
      </c>
      <c r="F245" s="15" t="inlineStr">
        <is>
          <t>Shenzhen, China</t>
        </is>
      </c>
      <c r="G245" s="15" t="inlineStr">
        <is>
          <t>Export</t>
        </is>
      </c>
      <c r="H245" s="15" t="inlineStr">
        <is>
          <t>Sunny Menia (Minya stone), acid-washed / honed — quantité : None — format : 300x300x18 mm, acid-washed / honed. Famille Sunny Menia (Minya), proche de MINYALA seulement si l'origine Minya est confirmée, mais destination Chine (Shenzhen) et format 30x30x1,8 : sans intérêt pour un stock en France.</t>
        </is>
      </c>
      <c r="I245" s="15" t="n"/>
      <c r="J245" s="15" t="n"/>
      <c r="K245" s="20" t="inlineStr">
        <is>
          <t>Voir</t>
        </is>
      </c>
      <c r="L245" s="21" t="inlineStr">
        <is>
          <t>À étudier</t>
        </is>
      </c>
      <c r="M245" s="21" t="n"/>
      <c r="N245" s="21" t="n"/>
      <c r="O245" s="21" t="inlineStr">
        <is>
          <t>Correspondance : Faible ; vérifiée : Non (StoneContact bloqué) ; publiée le None</t>
        </is>
      </c>
      <c r="P245" s="15" t="inlineStr">
        <is>
          <t>RFQ (12/10)</t>
        </is>
      </c>
    </row>
    <row r="246" ht="54.75" customHeight="1" s="13">
      <c r="A246" s="15" t="n">
        <v>245</v>
      </c>
      <c r="B246" s="15" t="inlineStr">
        <is>
          <t>Acheteur export (RFQ)</t>
        </is>
      </c>
      <c r="C246" s="15" t="n">
        <v>3</v>
      </c>
      <c r="D246" s="15" t="inlineStr">
        <is>
          <t>Demande go4WorldBusiness</t>
        </is>
      </c>
      <c r="E246" s="15" t="inlineStr">
        <is>
          <t>Wanted : Natural Stone Like Sandstone, Limestone, Natural Stones</t>
        </is>
      </c>
      <c r="F246" s="15" t="inlineStr">
        <is>
          <t>Split, Croatie</t>
        </is>
      </c>
      <c r="G246" s="15" t="inlineStr">
        <is>
          <t>Export</t>
        </is>
      </c>
      <c r="H246" s="15" t="inlineStr">
        <is>
          <t>Grès et calcaire sur mesure, noir, brun ou gris — quantité : 1 conteneur 20' — format : sur mesure. Calcaire pour l'Europe (Split, Croatie), mais les couleurs voulues sont sombres (noir, brun, gris) et le paiement se fait par L/C pour 1 conteneur.</t>
        </is>
      </c>
      <c r="I246" s="15" t="n"/>
      <c r="J246" s="15" t="n"/>
      <c r="K246" s="20" t="inlineStr">
        <is>
          <t>Voir</t>
        </is>
      </c>
      <c r="L246" s="21" t="inlineStr">
        <is>
          <t>À étudier</t>
        </is>
      </c>
      <c r="M246" s="21" t="n"/>
      <c r="N246" s="21" t="n"/>
      <c r="O246" s="21" t="inlineStr">
        <is>
          <t>Correspondance : Faible ; vérifiée : Oui ; publiée le 2026-09-03</t>
        </is>
      </c>
      <c r="P246" s="15" t="inlineStr">
        <is>
          <t>RFQ (12/10)</t>
        </is>
      </c>
    </row>
    <row r="247" ht="68.25" customHeight="1" s="13">
      <c r="A247" s="15" t="n">
        <v>246</v>
      </c>
      <c r="B247" s="15" t="inlineStr">
        <is>
          <t>Acheteur export (RFQ)</t>
        </is>
      </c>
      <c r="C247" s="15" t="n">
        <v>3</v>
      </c>
      <c r="D247" s="15" t="inlineStr">
        <is>
          <t>Demande go4WorldBusiness</t>
        </is>
      </c>
      <c r="E247" s="15" t="inlineStr">
        <is>
          <t>Wanted : Natural Stones Like Sawn And Tumbled Finish</t>
        </is>
      </c>
      <c r="F247" s="15" t="inlineStr">
        <is>
          <t>Oman</t>
        </is>
      </c>
      <c r="G247" s="15" t="inlineStr">
        <is>
          <t>Export</t>
        </is>
      </c>
      <c r="H247" s="15" t="inlineStr">
        <is>
          <t>Dalles 500×500×30 sciées et vieillies : travertin beige 640 m², gris foncé 447 m², jaune cristal 521 m² — quantité : 640 m² (beige), plus d'autres teintes — format : 500×500×30 mm. Pierre beige vieillie, mais l'acheteur est à Oman, loin de l'Europe, et demande du 50×50×3 cm.</t>
        </is>
      </c>
      <c r="I247" s="15" t="n"/>
      <c r="J247" s="15" t="n"/>
      <c r="K247" s="20" t="inlineStr">
        <is>
          <t>Voir</t>
        </is>
      </c>
      <c r="L247" s="21" t="inlineStr">
        <is>
          <t>À étudier</t>
        </is>
      </c>
      <c r="M247" s="21" t="n"/>
      <c r="N247" s="21" t="n"/>
      <c r="O247" s="21" t="inlineStr">
        <is>
          <t>Correspondance : Faible ; vérifiée : Oui ; publiée le 2026-07-21</t>
        </is>
      </c>
      <c r="P247" s="15" t="inlineStr">
        <is>
          <t>RFQ (12/10)</t>
        </is>
      </c>
    </row>
    <row r="248" ht="68.25" customHeight="1" s="13">
      <c r="A248" s="15" t="n">
        <v>247</v>
      </c>
      <c r="B248" s="15" t="inlineStr">
        <is>
          <t>Acheteur export (RFQ)</t>
        </is>
      </c>
      <c r="C248" s="15" t="n">
        <v>3</v>
      </c>
      <c r="D248" s="15" t="inlineStr">
        <is>
          <t>Demande Alibaba RFQ</t>
        </is>
      </c>
      <c r="E248" s="15" t="inlineStr">
        <is>
          <t>YDSTONE Beige Tumbled French Pattern Travertine Tile Limestone for Indoor Outdoor Staircases ...</t>
        </is>
      </c>
      <c r="F248" s="15" t="inlineStr">
        <is>
          <t>Perth, Australie (compte acheteur aux États-Unis)</t>
        </is>
      </c>
      <c r="G248" s="15" t="inlineStr">
        <is>
          <t>Export</t>
        </is>
      </c>
      <c r="H248" s="15" t="inlineStr">
        <is>
          <t>Pavés de travertin extérieurs pour zones humides, adoucis — quantité : 150 m² — format : au moins 300×600 mm, épaisseur 30 mm minimum. Pierre beige en format proche du 30×60, mais pour l'Australie (Perth) et en 30 mm minimum, alors que MINYALA fait 20 mm : ne correspond pas.</t>
        </is>
      </c>
      <c r="I248" s="15" t="n"/>
      <c r="J248" s="15" t="n"/>
      <c r="K248" s="20" t="inlineStr">
        <is>
          <t>Voir</t>
        </is>
      </c>
      <c r="L248" s="21" t="inlineStr">
        <is>
          <t>À étudier</t>
        </is>
      </c>
      <c r="M248" s="21" t="n"/>
      <c r="N248" s="21" t="n"/>
      <c r="O248" s="21" t="inlineStr">
        <is>
          <t>Correspondance : Faible ; vérifiée : Oui (corrigée) ; publiée le affiché « 5 days ago » le 2026-10-12</t>
        </is>
      </c>
      <c r="P248" s="15" t="inlineStr">
        <is>
          <t>RFQ (12/10)</t>
        </is>
      </c>
    </row>
    <row r="249" ht="68.25" customHeight="1" s="13">
      <c r="A249" s="15" t="n">
        <v>248</v>
      </c>
      <c r="B249" s="15" t="inlineStr">
        <is>
          <t>Acheteur export (RFQ)</t>
        </is>
      </c>
      <c r="C249" s="15" t="n">
        <v>3</v>
      </c>
      <c r="D249" s="15" t="inlineStr">
        <is>
          <t>Demande StoneContact</t>
        </is>
      </c>
      <c r="E249" s="15" t="inlineStr">
        <is>
          <t>[RFQ]Inquire About Galala Marble, Black Granite (Buyers from Bahrain)</t>
        </is>
      </c>
      <c r="F249" s="15" t="inlineStr">
        <is>
          <t>Bahrain</t>
        </is>
      </c>
      <c r="G249" s="15" t="inlineStr">
        <is>
          <t>Export</t>
        </is>
      </c>
      <c r="H249" s="15" t="inlineStr">
        <is>
          <t>Polished Galala marble (Egypt origin): flooring and wall cladding — quantité : None — format : 600x600x20 mm (floor); 1200x600 and 1500x600 mm (cladding). Pierre beige égyptienne demandée en juillet 2026, mais destination lointaine (Bahreïn), finition polie et formats 60x60 et 120x60 : peu adapté à un stock en France.</t>
        </is>
      </c>
      <c r="I249" s="15" t="n"/>
      <c r="J249" s="15" t="n"/>
      <c r="K249" s="20" t="inlineStr">
        <is>
          <t>Voir</t>
        </is>
      </c>
      <c r="L249" s="21" t="inlineStr">
        <is>
          <t>À étudier</t>
        </is>
      </c>
      <c r="M249" s="21" t="n"/>
      <c r="N249" s="21" t="n"/>
      <c r="O249" s="21" t="inlineStr">
        <is>
          <t>Correspondance : Faible ; vérifiée : Non (StoneContact bloqué) ; publiée le July 2026</t>
        </is>
      </c>
      <c r="P249" s="15" t="inlineStr">
        <is>
          <t>RFQ (12/10)</t>
        </is>
      </c>
    </row>
    <row r="250" ht="68.25" customHeight="1" s="13">
      <c r="A250" s="15" t="n">
        <v>249</v>
      </c>
      <c r="B250" s="15" t="inlineStr">
        <is>
          <t>Acheteur export (RFQ)</t>
        </is>
      </c>
      <c r="C250" s="15" t="n">
        <v>3</v>
      </c>
      <c r="D250" s="15" t="inlineStr">
        <is>
          <t>Demande Alibaba RFQ</t>
        </is>
      </c>
      <c r="E250" s="15" t="inlineStr">
        <is>
          <t>bathroom tiles walls and floors</t>
        </is>
      </c>
      <c r="F250" s="15" t="inlineStr">
        <is>
          <t>Portugal</t>
        </is>
      </c>
      <c r="G250" s="15" t="inlineStr">
        <is>
          <t>Export</t>
        </is>
      </c>
      <c r="H250" s="15" t="inlineStr">
        <is>
          <t>Grès cérame pleine masse aspect pierre, mat, R10, rectifié (pas de pierre naturelle) — quantité : 26 m² — format : 800×800×10 mm. Petite quantité (26 m²) au Portugal, mais l'acheteur veut du grès cérame aspect pierre en 80×80, pas de la pierre naturelle : ne correspond pas.</t>
        </is>
      </c>
      <c r="I250" s="15" t="n"/>
      <c r="J250" s="15" t="n"/>
      <c r="K250" s="20" t="inlineStr">
        <is>
          <t>Voir</t>
        </is>
      </c>
      <c r="L250" s="21" t="inlineStr">
        <is>
          <t>À étudier</t>
        </is>
      </c>
      <c r="M250" s="21" t="n"/>
      <c r="N250" s="21" t="n"/>
      <c r="O250" s="21" t="inlineStr">
        <is>
          <t>Correspondance : Faible ; vérifiée : Oui (corrigée) ; publiée le affiché « 4 days ago » le 2026-10-12</t>
        </is>
      </c>
      <c r="P250" s="15" t="inlineStr">
        <is>
          <t>RFQ (12/10)</t>
        </is>
      </c>
    </row>
    <row r="251" ht="15" customHeight="1" s="13">
      <c r="A251" s="12" t="n">
        <v>251</v>
      </c>
      <c r="B251" s="12" t="inlineStr">
        <is>
          <t>Pro France</t>
        </is>
      </c>
      <c r="C251" s="12" t="n">
        <v>2</v>
      </c>
      <c r="D251" s="12" t="inlineStr">
        <is>
          <t>À préciser (carrelage)</t>
        </is>
      </c>
      <c r="E251" s="12" t="inlineStr">
        <is>
          <t>ISL Carrelage</t>
        </is>
      </c>
      <c r="F251" s="12" t="inlineStr">
        <is>
          <t>À préciser</t>
        </is>
      </c>
      <c r="G251" s="12" t="inlineStr">
        <is>
          <t>À préciser</t>
        </is>
      </c>
      <c r="H251" s="12" t="inlineStr">
        <is>
          <t>Destinataire de l'envoi du 12/10 absent de la liste d'origine : fiche à compléter.</t>
        </is>
      </c>
      <c r="L251" s="12" t="inlineStr">
        <is>
          <t>Contacté</t>
        </is>
      </c>
      <c r="M251" s="12" t="inlineStr">
        <is>
          <t>12/10/2026</t>
        </is>
      </c>
      <c r="N251" s="12" t="inlineStr">
        <is>
          <t>Vérifier la réponse dans la boîte Hotmail d'envoi ; une seule relance (~19/10) si silence</t>
        </is>
      </c>
      <c r="O251" s="12" t="inlineStr">
        <is>
          <t>E-mail de prospection (tarif pro) du 12/10/2026 à 17:56 (copie reçue en INBOX).</t>
        </is>
      </c>
      <c r="P251" s="12" t="inlineStr">
        <is>
          <t>Envoi du 12/10 (hors liste)</t>
        </is>
      </c>
      <c r="Q251" s="12" t="inlineStr">
        <is>
          <t>isl.carrelage@gmail.com</t>
        </is>
      </c>
    </row>
    <row r="252" ht="15" customHeight="1" s="13">
      <c r="A252" s="12" t="n">
        <v>252</v>
      </c>
      <c r="B252" s="12" t="inlineStr">
        <is>
          <t>Pro France</t>
        </is>
      </c>
      <c r="C252" s="12" t="n">
        <v>2</v>
      </c>
      <c r="D252" s="12" t="inlineStr">
        <is>
          <t>Paysagiste</t>
        </is>
      </c>
      <c r="E252" s="12" t="inlineStr">
        <is>
          <t>David Paysage</t>
        </is>
      </c>
      <c r="F252" s="12" t="inlineStr">
        <is>
          <t>À préciser</t>
        </is>
      </c>
      <c r="G252" s="12" t="inlineStr">
        <is>
          <t>À préciser</t>
        </is>
      </c>
      <c r="H252" s="12" t="inlineStr">
        <is>
          <t>Destinataire de l'envoi du 12/10 absent de la liste d'origine : fiche à compléter.</t>
        </is>
      </c>
      <c r="L252" s="12" t="inlineStr">
        <is>
          <t>Contacté</t>
        </is>
      </c>
      <c r="M252" s="12" t="inlineStr">
        <is>
          <t>12/10/2026</t>
        </is>
      </c>
      <c r="N252" s="12" t="inlineStr">
        <is>
          <t>Vérifier la réponse dans la boîte Hotmail d'envoi ; une seule relance (~19/10) si silence</t>
        </is>
      </c>
      <c r="O252" s="12" t="inlineStr">
        <is>
          <t>E-mail de prospection (tarif pro) du 12/10/2026 à 17:57 (copie reçue en SPAM).</t>
        </is>
      </c>
      <c r="P252" s="12" t="inlineStr">
        <is>
          <t>Envoi du 12/10 (hors liste)</t>
        </is>
      </c>
      <c r="Q252" s="12" t="inlineStr">
        <is>
          <t>davidelagagepaysage@gmail.com</t>
        </is>
      </c>
    </row>
    <row r="253" ht="15" customHeight="1" s="13">
      <c r="A253" s="12" t="n">
        <v>253</v>
      </c>
      <c r="B253" s="12" t="inlineStr">
        <is>
          <t>Pro France</t>
        </is>
      </c>
      <c r="C253" s="12" t="n">
        <v>2</v>
      </c>
      <c r="D253" s="12" t="inlineStr">
        <is>
          <t>À préciser</t>
        </is>
      </c>
      <c r="E253" s="12" t="inlineStr">
        <is>
          <t>TerraConcept</t>
        </is>
      </c>
      <c r="F253" s="12" t="inlineStr">
        <is>
          <t>À préciser</t>
        </is>
      </c>
      <c r="G253" s="12" t="inlineStr">
        <is>
          <t>À préciser</t>
        </is>
      </c>
      <c r="H253" s="12" t="inlineStr">
        <is>
          <t>Destinataire de l'envoi du 12/10 absent de la liste d'origine : fiche à compléter.</t>
        </is>
      </c>
      <c r="L253" s="12" t="inlineStr">
        <is>
          <t>Contacté</t>
        </is>
      </c>
      <c r="M253" s="12" t="inlineStr">
        <is>
          <t>12/10/2026</t>
        </is>
      </c>
      <c r="N253" s="12" t="inlineStr">
        <is>
          <t>Vérifier la réponse dans la boîte Hotmail d'envoi ; une seule relance (~19/10) si silence</t>
        </is>
      </c>
      <c r="O253" s="12" t="inlineStr">
        <is>
          <t>E-mail de prospection (tarif pro) du 12/10/2026 à 17:57 (copie reçue en SPAM).</t>
        </is>
      </c>
      <c r="P253" s="12" t="inlineStr">
        <is>
          <t>Envoi du 12/10 (hors liste)</t>
        </is>
      </c>
      <c r="Q253" s="12" t="inlineStr">
        <is>
          <t>terraconceptservicecommercial@gmail.com</t>
        </is>
      </c>
    </row>
    <row r="254" ht="15" customHeight="1" s="13">
      <c r="L254" s="12" t="n"/>
    </row>
    <row r="255" ht="15" customHeight="1" s="13">
      <c r="L255" s="12" t="n"/>
    </row>
    <row r="256" ht="15" customHeight="1" s="13">
      <c r="L256" s="12" t="n"/>
    </row>
    <row r="257" ht="15" customHeight="1" s="13">
      <c r="L257" s="12" t="n"/>
    </row>
    <row r="258" ht="15" customHeight="1" s="13">
      <c r="L258" s="12" t="n"/>
    </row>
    <row r="259" ht="15" customHeight="1" s="13">
      <c r="L259" s="12" t="n"/>
    </row>
    <row r="260" ht="15" customHeight="1" s="13">
      <c r="L260" s="12" t="n"/>
    </row>
    <row r="261" ht="15" customHeight="1" s="13">
      <c r="L261" s="12" t="n"/>
    </row>
    <row r="262" ht="15" customHeight="1" s="13">
      <c r="L262" s="12" t="n"/>
    </row>
    <row r="263" ht="15" customHeight="1" s="13">
      <c r="L263" s="12" t="n"/>
    </row>
    <row r="264" ht="15" customHeight="1" s="13">
      <c r="L264" s="12" t="n"/>
    </row>
    <row r="265" ht="15" customHeight="1" s="13">
      <c r="L265" s="12" t="n"/>
    </row>
    <row r="266" ht="15" customHeight="1" s="13">
      <c r="L266" s="12" t="n"/>
    </row>
    <row r="267" ht="15" customHeight="1" s="13">
      <c r="L267" s="12" t="n"/>
    </row>
    <row r="268" ht="15" customHeight="1" s="13">
      <c r="L268" s="12" t="n"/>
    </row>
    <row r="269" ht="15" customHeight="1" s="13">
      <c r="L269" s="12" t="n"/>
    </row>
    <row r="270" ht="15" customHeight="1" s="13">
      <c r="L270" s="12" t="n"/>
    </row>
    <row r="271" ht="15" customHeight="1" s="13">
      <c r="L271" s="12" t="n"/>
    </row>
    <row r="272" ht="15" customHeight="1" s="13">
      <c r="L272" s="12" t="n"/>
    </row>
    <row r="273" ht="15" customHeight="1" s="13">
      <c r="L273" s="12" t="n"/>
    </row>
    <row r="274" ht="15" customHeight="1" s="13">
      <c r="L274" s="12" t="n"/>
    </row>
    <row r="275" ht="15" customHeight="1" s="13">
      <c r="L275" s="12" t="n"/>
    </row>
    <row r="276" ht="15" customHeight="1" s="13">
      <c r="L276" s="12" t="n"/>
    </row>
    <row r="277" ht="15" customHeight="1" s="13">
      <c r="L277" s="12" t="n"/>
    </row>
    <row r="278" ht="15" customHeight="1" s="13">
      <c r="L278" s="12" t="n"/>
    </row>
    <row r="279" ht="15" customHeight="1" s="13">
      <c r="L279" s="12" t="n"/>
    </row>
    <row r="280" ht="15" customHeight="1" s="13">
      <c r="L280" s="12" t="n"/>
    </row>
    <row r="281" ht="15" customHeight="1" s="13">
      <c r="L281" s="12" t="n"/>
    </row>
    <row r="282" ht="15" customHeight="1" s="13">
      <c r="L282" s="12" t="n"/>
    </row>
    <row r="283" ht="15" customHeight="1" s="13">
      <c r="L283" s="12" t="n"/>
    </row>
    <row r="284" ht="15" customHeight="1" s="13">
      <c r="L284" s="12" t="n"/>
    </row>
    <row r="285" ht="15" customHeight="1" s="13">
      <c r="L285" s="12" t="n"/>
    </row>
    <row r="286" ht="15" customHeight="1" s="13">
      <c r="L286" s="12" t="n"/>
    </row>
    <row r="287" ht="15" customHeight="1" s="13">
      <c r="L287" s="12" t="n"/>
    </row>
    <row r="288" ht="15" customHeight="1" s="13">
      <c r="L288" s="12" t="n"/>
    </row>
    <row r="289" ht="15" customHeight="1" s="13">
      <c r="L289" s="12" t="n"/>
    </row>
    <row r="290" ht="15" customHeight="1" s="13">
      <c r="L290" s="12" t="n"/>
    </row>
    <row r="291" ht="15" customHeight="1" s="13">
      <c r="L291" s="12" t="n"/>
    </row>
    <row r="292" ht="15" customHeight="1" s="13">
      <c r="L292" s="12" t="n"/>
    </row>
    <row r="293" ht="15" customHeight="1" s="13">
      <c r="L293" s="12" t="n"/>
    </row>
    <row r="294" ht="15" customHeight="1" s="13">
      <c r="L294" s="12" t="n"/>
    </row>
    <row r="295" ht="15" customHeight="1" s="13">
      <c r="L295" s="12" t="n"/>
    </row>
    <row r="296" ht="15" customHeight="1" s="13">
      <c r="L296" s="12" t="n"/>
    </row>
    <row r="297" ht="15" customHeight="1" s="13">
      <c r="L297" s="12" t="n"/>
    </row>
    <row r="298" ht="15" customHeight="1" s="13">
      <c r="L298" s="12" t="n"/>
    </row>
    <row r="299" ht="15" customHeight="1" s="13">
      <c r="L299" s="12" t="n"/>
    </row>
    <row r="300" ht="15" customHeight="1" s="13">
      <c r="L300" s="12" t="n"/>
    </row>
    <row r="301" ht="15" customHeight="1" s="13">
      <c r="L301" s="12" t="n"/>
    </row>
    <row r="302" ht="15" customHeight="1" s="13">
      <c r="L302" s="12" t="n"/>
    </row>
    <row r="303" ht="15" customHeight="1" s="13">
      <c r="L303" s="12" t="n"/>
    </row>
    <row r="304" ht="15" customHeight="1" s="13">
      <c r="L304" s="12" t="n"/>
    </row>
    <row r="305" ht="15" customHeight="1" s="13">
      <c r="L305" s="12" t="n"/>
    </row>
    <row r="306" ht="15" customHeight="1" s="13">
      <c r="L306" s="12" t="n"/>
    </row>
    <row r="307" ht="15" customHeight="1" s="13">
      <c r="L307" s="12" t="n"/>
    </row>
    <row r="308" ht="15" customHeight="1" s="13">
      <c r="L308" s="12" t="n"/>
    </row>
    <row r="309" ht="15" customHeight="1" s="13">
      <c r="L309" s="12" t="n"/>
    </row>
    <row r="310" ht="15" customHeight="1" s="13">
      <c r="L310" s="12" t="n"/>
    </row>
    <row r="311" ht="15" customHeight="1" s="13">
      <c r="L311" s="12" t="n"/>
    </row>
    <row r="312" ht="15" customHeight="1" s="13">
      <c r="L312" s="12" t="n"/>
    </row>
    <row r="313" ht="15" customHeight="1" s="13">
      <c r="L313" s="12" t="n"/>
    </row>
    <row r="314" ht="15" customHeight="1" s="13">
      <c r="L314" s="12" t="n"/>
    </row>
    <row r="315" ht="15" customHeight="1" s="13">
      <c r="L315" s="12" t="n"/>
    </row>
    <row r="316" ht="15" customHeight="1" s="13">
      <c r="L316" s="12" t="n"/>
    </row>
    <row r="317" ht="15" customHeight="1" s="13">
      <c r="L317" s="12" t="n"/>
    </row>
    <row r="318" ht="15" customHeight="1" s="13">
      <c r="L318" s="12" t="n"/>
    </row>
    <row r="319" ht="15" customHeight="1" s="13">
      <c r="L319" s="12" t="n"/>
    </row>
    <row r="320" ht="15" customHeight="1" s="13">
      <c r="L320" s="12" t="n"/>
    </row>
    <row r="321" ht="15" customHeight="1" s="13">
      <c r="L321" s="12" t="n"/>
    </row>
    <row r="322" ht="15" customHeight="1" s="13">
      <c r="L322" s="12" t="n"/>
    </row>
    <row r="323" ht="15" customHeight="1" s="13">
      <c r="L323" s="12" t="n"/>
    </row>
    <row r="324" ht="15" customHeight="1" s="13">
      <c r="L324" s="12" t="n"/>
    </row>
    <row r="325" ht="15" customHeight="1" s="13">
      <c r="L325" s="12" t="n"/>
    </row>
    <row r="326" ht="15" customHeight="1" s="13">
      <c r="L326" s="12" t="n"/>
    </row>
    <row r="327" ht="15" customHeight="1" s="13">
      <c r="L327" s="12" t="n"/>
    </row>
    <row r="328" ht="15" customHeight="1" s="13">
      <c r="L328" s="12" t="n"/>
    </row>
    <row r="329" ht="15" customHeight="1" s="13">
      <c r="L329" s="12" t="n"/>
    </row>
    <row r="330" ht="15" customHeight="1" s="13">
      <c r="L330" s="12" t="n"/>
    </row>
    <row r="331" ht="15" customHeight="1" s="13">
      <c r="L331" s="12" t="n"/>
    </row>
    <row r="332" ht="15" customHeight="1" s="13">
      <c r="L332" s="12" t="n"/>
    </row>
    <row r="333" ht="15" customHeight="1" s="13">
      <c r="L333" s="12" t="n"/>
    </row>
    <row r="334" ht="15" customHeight="1" s="13">
      <c r="L334" s="12" t="n"/>
    </row>
    <row r="335" ht="15" customHeight="1" s="13">
      <c r="L335" s="12" t="n"/>
    </row>
    <row r="336" ht="15" customHeight="1" s="13">
      <c r="L336" s="12" t="n"/>
    </row>
    <row r="337" ht="15" customHeight="1" s="13">
      <c r="L337" s="12" t="n"/>
    </row>
    <row r="338" ht="15" customHeight="1" s="13">
      <c r="L338" s="12" t="n"/>
    </row>
    <row r="339" ht="15" customHeight="1" s="13">
      <c r="L339" s="12" t="n"/>
    </row>
    <row r="340" ht="15" customHeight="1" s="13">
      <c r="L340" s="12" t="n"/>
    </row>
    <row r="341" ht="15" customHeight="1" s="13">
      <c r="L341" s="12" t="n"/>
    </row>
    <row r="342" ht="15" customHeight="1" s="13">
      <c r="L342" s="12" t="n"/>
    </row>
    <row r="343" ht="15" customHeight="1" s="13">
      <c r="L343" s="12" t="n"/>
    </row>
    <row r="344" ht="15" customHeight="1" s="13">
      <c r="L344" s="12" t="n"/>
    </row>
    <row r="345" ht="15" customHeight="1" s="13">
      <c r="L345" s="12" t="n"/>
    </row>
    <row r="346" ht="15" customHeight="1" s="13">
      <c r="L346" s="12" t="n"/>
    </row>
    <row r="347" ht="15" customHeight="1" s="13">
      <c r="L347" s="12" t="n"/>
    </row>
    <row r="348" ht="15" customHeight="1" s="13">
      <c r="L348" s="12" t="n"/>
    </row>
    <row r="349" ht="15" customHeight="1" s="13">
      <c r="L349" s="12" t="n"/>
    </row>
    <row r="350" ht="15" customHeight="1" s="13">
      <c r="L350" s="12" t="n"/>
    </row>
    <row r="351" ht="15" customHeight="1" s="13">
      <c r="L351" s="12" t="n"/>
    </row>
    <row r="352" ht="15" customHeight="1" s="13">
      <c r="L352" s="12" t="n"/>
    </row>
    <row r="353" ht="15" customHeight="1" s="13">
      <c r="L353" s="12" t="n"/>
    </row>
    <row r="354" ht="15" customHeight="1" s="13">
      <c r="L354" s="12" t="n"/>
    </row>
    <row r="355" ht="15" customHeight="1" s="13">
      <c r="L355" s="12" t="n"/>
    </row>
    <row r="356" ht="15" customHeight="1" s="13">
      <c r="L356" s="12" t="n"/>
    </row>
    <row r="357" ht="15" customHeight="1" s="13">
      <c r="L357" s="12" t="n"/>
    </row>
    <row r="358" ht="15" customHeight="1" s="13">
      <c r="L358" s="12" t="n"/>
    </row>
    <row r="359" ht="15" customHeight="1" s="13">
      <c r="L359" s="12" t="n"/>
    </row>
    <row r="360" ht="15" customHeight="1" s="13">
      <c r="L360" s="12" t="n"/>
    </row>
    <row r="361" ht="15" customHeight="1" s="13">
      <c r="L361" s="12" t="n"/>
    </row>
    <row r="362" ht="15" customHeight="1" s="13">
      <c r="L362" s="12" t="n"/>
    </row>
    <row r="363" ht="15" customHeight="1" s="13">
      <c r="L363" s="12" t="n"/>
    </row>
    <row r="364" ht="15" customHeight="1" s="13">
      <c r="L364" s="12" t="n"/>
    </row>
    <row r="365" ht="15" customHeight="1" s="13">
      <c r="L365" s="12" t="n"/>
    </row>
    <row r="366" ht="15" customHeight="1" s="13">
      <c r="L366" s="12" t="n"/>
    </row>
    <row r="367" ht="15" customHeight="1" s="13">
      <c r="L367" s="12" t="n"/>
    </row>
    <row r="368" ht="15" customHeight="1" s="13">
      <c r="L368" s="12" t="n"/>
    </row>
    <row r="369" ht="15" customHeight="1" s="13">
      <c r="L369" s="12" t="n"/>
    </row>
    <row r="370" ht="15" customHeight="1" s="13">
      <c r="L370" s="12" t="n"/>
    </row>
    <row r="371" ht="15" customHeight="1" s="13">
      <c r="L371" s="12" t="n"/>
    </row>
    <row r="372" ht="15" customHeight="1" s="13">
      <c r="L372" s="12" t="n"/>
    </row>
    <row r="373" ht="15" customHeight="1" s="13">
      <c r="L373" s="12" t="n"/>
    </row>
    <row r="374" ht="15" customHeight="1" s="13">
      <c r="L374" s="12" t="n"/>
    </row>
    <row r="375" ht="15" customHeight="1" s="13">
      <c r="L375" s="12" t="n"/>
    </row>
    <row r="376" ht="15" customHeight="1" s="13">
      <c r="L376" s="12" t="n"/>
    </row>
    <row r="377" ht="15" customHeight="1" s="13">
      <c r="L377" s="12" t="n"/>
    </row>
    <row r="378" ht="15" customHeight="1" s="13">
      <c r="L378" s="12" t="n"/>
    </row>
    <row r="379" ht="15" customHeight="1" s="13">
      <c r="L379" s="12" t="n"/>
    </row>
    <row r="380" ht="15" customHeight="1" s="13">
      <c r="L380" s="12" t="n"/>
    </row>
    <row r="381" ht="15" customHeight="1" s="13">
      <c r="L381" s="12" t="n"/>
    </row>
    <row r="382" ht="15" customHeight="1" s="13">
      <c r="L382" s="12" t="n"/>
    </row>
    <row r="383" ht="15" customHeight="1" s="13">
      <c r="L383" s="12" t="n"/>
    </row>
    <row r="384" ht="15" customHeight="1" s="13">
      <c r="L384" s="12" t="n"/>
    </row>
    <row r="385" ht="15" customHeight="1" s="13">
      <c r="L385" s="12" t="n"/>
    </row>
    <row r="386" ht="15" customHeight="1" s="13">
      <c r="L386" s="12" t="n"/>
    </row>
    <row r="387" ht="15" customHeight="1" s="13">
      <c r="L387" s="12" t="n"/>
    </row>
    <row r="388" ht="15" customHeight="1" s="13">
      <c r="L388" s="12" t="n"/>
    </row>
    <row r="389" ht="15" customHeight="1" s="13">
      <c r="L389" s="12" t="n"/>
    </row>
    <row r="390" ht="15" customHeight="1" s="13">
      <c r="L390" s="12" t="n"/>
    </row>
    <row r="391" ht="15" customHeight="1" s="13">
      <c r="L391" s="12" t="n"/>
    </row>
    <row r="392" ht="15" customHeight="1" s="13">
      <c r="L392" s="12" t="n"/>
    </row>
    <row r="393" ht="15" customHeight="1" s="13">
      <c r="L393" s="12" t="n"/>
    </row>
    <row r="394" ht="15" customHeight="1" s="13">
      <c r="L394" s="12" t="n"/>
    </row>
    <row r="395" ht="15" customHeight="1" s="13">
      <c r="L395" s="12" t="n"/>
    </row>
    <row r="396" ht="15" customHeight="1" s="13">
      <c r="L396" s="12" t="n"/>
    </row>
    <row r="397" ht="15" customHeight="1" s="13">
      <c r="L397" s="12" t="n"/>
    </row>
    <row r="398" ht="15" customHeight="1" s="13">
      <c r="L398" s="12" t="n"/>
    </row>
    <row r="399" ht="15" customHeight="1" s="13">
      <c r="L399" s="12" t="n"/>
    </row>
    <row r="400" ht="15" customHeight="1" s="13">
      <c r="L400" s="12" t="n"/>
    </row>
    <row r="401" ht="15" customHeight="1" s="13">
      <c r="L401" s="12" t="n"/>
    </row>
    <row r="402" ht="15" customHeight="1" s="13">
      <c r="L402" s="12" t="n"/>
    </row>
    <row r="403" ht="15" customHeight="1" s="13">
      <c r="L403" s="12" t="n"/>
    </row>
    <row r="404" ht="15" customHeight="1" s="13">
      <c r="L404" s="12" t="n"/>
    </row>
    <row r="405" ht="15" customHeight="1" s="13">
      <c r="L405" s="12" t="n"/>
    </row>
    <row r="406" ht="15" customHeight="1" s="13">
      <c r="L406" s="12" t="n"/>
    </row>
    <row r="407" ht="15" customHeight="1" s="13">
      <c r="L407" s="12" t="n"/>
    </row>
    <row r="408" ht="15" customHeight="1" s="13">
      <c r="L408" s="12" t="n"/>
    </row>
    <row r="409" ht="15" customHeight="1" s="13">
      <c r="L409" s="12" t="n"/>
    </row>
    <row r="410" ht="15" customHeight="1" s="13">
      <c r="L410" s="12" t="n"/>
    </row>
    <row r="411" ht="15" customHeight="1" s="13">
      <c r="L411" s="12" t="n"/>
    </row>
    <row r="412" ht="15" customHeight="1" s="13">
      <c r="L412" s="12" t="n"/>
    </row>
    <row r="413" ht="15" customHeight="1" s="13">
      <c r="L413" s="12" t="n"/>
    </row>
    <row r="414" ht="15" customHeight="1" s="13">
      <c r="L414" s="12" t="n"/>
    </row>
    <row r="415" ht="15" customHeight="1" s="13">
      <c r="L415" s="12" t="n"/>
    </row>
    <row r="416" ht="15" customHeight="1" s="13">
      <c r="L416" s="12" t="n"/>
    </row>
    <row r="417" ht="15" customHeight="1" s="13">
      <c r="L417" s="12" t="n"/>
    </row>
    <row r="418" ht="15" customHeight="1" s="13">
      <c r="L418" s="12" t="n"/>
    </row>
    <row r="419" ht="15" customHeight="1" s="13">
      <c r="L419" s="12" t="n"/>
    </row>
    <row r="420" ht="15" customHeight="1" s="13">
      <c r="L420" s="12" t="n"/>
    </row>
    <row r="421" ht="15" customHeight="1" s="13">
      <c r="L421" s="12" t="n"/>
    </row>
    <row r="422" ht="15" customHeight="1" s="13">
      <c r="L422" s="12" t="n"/>
    </row>
    <row r="423" ht="15" customHeight="1" s="13">
      <c r="L423" s="12" t="n"/>
    </row>
    <row r="424" ht="15" customHeight="1" s="13">
      <c r="L424" s="12" t="n"/>
    </row>
    <row r="425" ht="15" customHeight="1" s="13">
      <c r="L425" s="12" t="n"/>
    </row>
    <row r="426" ht="15" customHeight="1" s="13">
      <c r="L426" s="12" t="n"/>
    </row>
    <row r="427" ht="15" customHeight="1" s="13">
      <c r="L427" s="12" t="n"/>
    </row>
    <row r="428" ht="15" customHeight="1" s="13">
      <c r="L428" s="12" t="n"/>
    </row>
    <row r="429" ht="15" customHeight="1" s="13">
      <c r="L429" s="12" t="n"/>
    </row>
    <row r="430" ht="15" customHeight="1" s="13">
      <c r="L430" s="12" t="n"/>
    </row>
    <row r="431" ht="15" customHeight="1" s="13">
      <c r="L431" s="12" t="n"/>
    </row>
    <row r="432" ht="15" customHeight="1" s="13">
      <c r="L432" s="12" t="n"/>
    </row>
    <row r="433" ht="15" customHeight="1" s="13">
      <c r="L433" s="12" t="n"/>
    </row>
    <row r="434" ht="15" customHeight="1" s="13">
      <c r="L434" s="12" t="n"/>
    </row>
    <row r="435" ht="15" customHeight="1" s="13">
      <c r="L435" s="12" t="n"/>
    </row>
    <row r="436" ht="15" customHeight="1" s="13">
      <c r="L436" s="12" t="n"/>
    </row>
    <row r="437" ht="15" customHeight="1" s="13">
      <c r="L437" s="12" t="n"/>
    </row>
    <row r="438" ht="15" customHeight="1" s="13">
      <c r="L438" s="12" t="n"/>
    </row>
    <row r="439" ht="15" customHeight="1" s="13">
      <c r="L439" s="12" t="n"/>
    </row>
    <row r="440" ht="15" customHeight="1" s="13">
      <c r="L440" s="12" t="n"/>
    </row>
    <row r="441" ht="15" customHeight="1" s="13">
      <c r="L441" s="12" t="n"/>
    </row>
    <row r="442" ht="15" customHeight="1" s="13">
      <c r="L442" s="12" t="n"/>
    </row>
    <row r="443" ht="15" customHeight="1" s="13">
      <c r="L443" s="12" t="n"/>
    </row>
    <row r="444" ht="15" customHeight="1" s="13">
      <c r="L444" s="12" t="n"/>
    </row>
    <row r="445" ht="15" customHeight="1" s="13">
      <c r="L445" s="12" t="n"/>
    </row>
    <row r="446" ht="15" customHeight="1" s="13">
      <c r="L446" s="12" t="n"/>
    </row>
    <row r="447" ht="15" customHeight="1" s="13">
      <c r="L447" s="12" t="n"/>
    </row>
    <row r="448" ht="15" customHeight="1" s="13">
      <c r="L448" s="12" t="n"/>
    </row>
    <row r="449" ht="15" customHeight="1" s="13">
      <c r="L449" s="12" t="n"/>
    </row>
    <row r="450" ht="15" customHeight="1" s="13">
      <c r="L450" s="12" t="n"/>
    </row>
  </sheetData>
  <autoFilter ref="A1:P250"/>
  <dataValidations count="1">
    <dataValidation sqref="L2:L450" showDropDown="0" showInputMessage="0" showErrorMessage="1" allowBlank="1" type="list" errorStyle="stop" operator="between">
      <formula1>"À contacter,À étudier,Contacté,Relancé,Intéressé,Devis envoyé,Vendu,Pas intéressé,Ne plus contacter"</formula1>
      <formula2>0</formula2>
    </dataValidation>
  </dataValidations>
  <hyperlinks>
    <hyperlink xmlns:r="http://schemas.openxmlformats.org/officeDocument/2006/relationships" ref="I2" display="www.abl-negoce.fr" r:id="rId1"/>
    <hyperlink xmlns:r="http://schemas.openxmlformats.org/officeDocument/2006/relationships" ref="K2" display="Voir" r:id="rId2"/>
    <hyperlink xmlns:r="http://schemas.openxmlformats.org/officeDocument/2006/relationships" ref="I3" display="magasins.bigmat.fr/normandie/eure/evreux/bigmat-evreux-mvr-materiaux-144" r:id="rId3"/>
    <hyperlink xmlns:r="http://schemas.openxmlformats.org/officeDocument/2006/relationships" ref="K3" display="Voir" r:id="rId4"/>
    <hyperlink xmlns:r="http://schemas.openxmlformats.org/officeDocument/2006/relationships" ref="I4" display="www.carrelages-dente.fr" r:id="rId5"/>
    <hyperlink xmlns:r="http://schemas.openxmlformats.org/officeDocument/2006/relationships" ref="K4" display="Voir" r:id="rId6"/>
    <hyperlink xmlns:r="http://schemas.openxmlformats.org/officeDocument/2006/relationships" ref="K5" display="Voir" r:id="rId7"/>
    <hyperlink xmlns:r="http://schemas.openxmlformats.org/officeDocument/2006/relationships" ref="I6" display="www.lemondedelapierre.fr" r:id="rId8"/>
    <hyperlink xmlns:r="http://schemas.openxmlformats.org/officeDocument/2006/relationships" ref="K6" display="Voir" r:id="rId9"/>
    <hyperlink xmlns:r="http://schemas.openxmlformats.org/officeDocument/2006/relationships" ref="I7" display="www.midi-carrelage.fr" r:id="rId10"/>
    <hyperlink xmlns:r="http://schemas.openxmlformats.org/officeDocument/2006/relationships" ref="K7" display="Voir" r:id="rId11"/>
    <hyperlink xmlns:r="http://schemas.openxmlformats.org/officeDocument/2006/relationships" ref="I8" display="www.nivault.com" r:id="rId12"/>
    <hyperlink xmlns:r="http://schemas.openxmlformats.org/officeDocument/2006/relationships" ref="K8" display="Voir" r:id="rId13"/>
    <hyperlink xmlns:r="http://schemas.openxmlformats.org/officeDocument/2006/relationships" ref="I9" display="www.paysagesconseil.fr/paysagiste-caen" r:id="rId14"/>
    <hyperlink xmlns:r="http://schemas.openxmlformats.org/officeDocument/2006/relationships" ref="K9" display="Voir" r:id="rId15"/>
    <hyperlink xmlns:r="http://schemas.openxmlformats.org/officeDocument/2006/relationships" ref="I10" display="www.pillaud-materiaux.com" r:id="rId16"/>
    <hyperlink xmlns:r="http://schemas.openxmlformats.org/officeDocument/2006/relationships" ref="K10" display="Voir" r:id="rId17"/>
    <hyperlink xmlns:r="http://schemas.openxmlformats.org/officeDocument/2006/relationships" ref="I11" display="www.sedelka.fr" r:id="rId18"/>
    <hyperlink xmlns:r="http://schemas.openxmlformats.org/officeDocument/2006/relationships" ref="K11" display="Voir" r:id="rId19"/>
    <hyperlink xmlns:r="http://schemas.openxmlformats.org/officeDocument/2006/relationships" ref="I12" display="www.solmur.fr" r:id="rId20"/>
    <hyperlink xmlns:r="http://schemas.openxmlformats.org/officeDocument/2006/relationships" ref="K12" display="Voir" r:id="rId21"/>
    <hyperlink xmlns:r="http://schemas.openxmlformats.org/officeDocument/2006/relationships" ref="I13" display="www.tendancecarrelagesrouen.fr" r:id="rId22"/>
    <hyperlink xmlns:r="http://schemas.openxmlformats.org/officeDocument/2006/relationships" ref="K13" display="Voir" r:id="rId23"/>
    <hyperlink xmlns:r="http://schemas.openxmlformats.org/officeDocument/2006/relationships" ref="I14" display="www.torchio.fr" r:id="rId24"/>
    <hyperlink xmlns:r="http://schemas.openxmlformats.org/officeDocument/2006/relationships" ref="K14" display="Voir" r:id="rId25"/>
    <hyperlink xmlns:r="http://schemas.openxmlformats.org/officeDocument/2006/relationships" ref="I15" display="www.tragin-sa.com" r:id="rId26"/>
    <hyperlink xmlns:r="http://schemas.openxmlformats.org/officeDocument/2006/relationships" ref="K15" display="Voir" r:id="rId27"/>
    <hyperlink xmlns:r="http://schemas.openxmlformats.org/officeDocument/2006/relationships" ref="I16" display="www.batimantes.fr" r:id="rId28"/>
    <hyperlink xmlns:r="http://schemas.openxmlformats.org/officeDocument/2006/relationships" ref="K16" display="Voir" r:id="rId29"/>
    <hyperlink xmlns:r="http://schemas.openxmlformats.org/officeDocument/2006/relationships" ref="I17" display="coignieres.mondial-piscine.eu" r:id="rId30"/>
    <hyperlink xmlns:r="http://schemas.openxmlformats.org/officeDocument/2006/relationships" ref="K17" display="Voir" r:id="rId31"/>
    <hyperlink xmlns:r="http://schemas.openxmlformats.org/officeDocument/2006/relationships" ref="K18" display="Voir" r:id="rId32"/>
    <hyperlink xmlns:r="http://schemas.openxmlformats.org/officeDocument/2006/relationships" ref="I19" display="www.carrelage-design-95.fr" r:id="rId33"/>
    <hyperlink xmlns:r="http://schemas.openxmlformats.org/officeDocument/2006/relationships" ref="K19" display="Voir" r:id="rId34"/>
    <hyperlink xmlns:r="http://schemas.openxmlformats.org/officeDocument/2006/relationships" ref="I20" display="www.carrelage-roger.com" r:id="rId35"/>
    <hyperlink xmlns:r="http://schemas.openxmlformats.org/officeDocument/2006/relationships" ref="K20" display="Voir" r:id="rId36"/>
    <hyperlink xmlns:r="http://schemas.openxmlformats.org/officeDocument/2006/relationships" ref="K21" display="Voir" r:id="rId37"/>
    <hyperlink xmlns:r="http://schemas.openxmlformats.org/officeDocument/2006/relationships" ref="I22" display="www.ceramico.fr" r:id="rId38"/>
    <hyperlink xmlns:r="http://schemas.openxmlformats.org/officeDocument/2006/relationships" ref="K22" display="Voir" r:id="rId39"/>
    <hyperlink xmlns:r="http://schemas.openxmlformats.org/officeDocument/2006/relationships" ref="I23" display="www.decomarbre.fr" r:id="rId40"/>
    <hyperlink xmlns:r="http://schemas.openxmlformats.org/officeDocument/2006/relationships" ref="K23" display="Voir" r:id="rId41"/>
    <hyperlink xmlns:r="http://schemas.openxmlformats.org/officeDocument/2006/relationships" ref="I24" display="flipo.fr" r:id="rId42"/>
    <hyperlink xmlns:r="http://schemas.openxmlformats.org/officeDocument/2006/relationships" ref="K24" display="Voir" r:id="rId43"/>
    <hyperlink xmlns:r="http://schemas.openxmlformats.org/officeDocument/2006/relationships" ref="I25" display="www.gedimat.fr/2264-magasin-gedimat-aux-docks-de-clamart-clamart.htm" r:id="rId44"/>
    <hyperlink xmlns:r="http://schemas.openxmlformats.org/officeDocument/2006/relationships" ref="K25" display="Voir" r:id="rId45"/>
    <hyperlink xmlns:r="http://schemas.openxmlformats.org/officeDocument/2006/relationships" ref="I26" display="www.gedimat.fr/2034-magasin-gedimat-sefor-houilles.htm" r:id="rId46"/>
    <hyperlink xmlns:r="http://schemas.openxmlformats.org/officeDocument/2006/relationships" ref="K26" display="Voir" r:id="rId47"/>
    <hyperlink xmlns:r="http://schemas.openxmlformats.org/officeDocument/2006/relationships" ref="I27" display="kap-carrelage.store" r:id="rId48"/>
    <hyperlink xmlns:r="http://schemas.openxmlformats.org/officeDocument/2006/relationships" ref="K27" display="Voir" r:id="rId49"/>
    <hyperlink xmlns:r="http://schemas.openxmlformats.org/officeDocument/2006/relationships" ref="K28" display="Voir" r:id="rId50"/>
    <hyperlink xmlns:r="http://schemas.openxmlformats.org/officeDocument/2006/relationships" ref="I29" display="leholloco.com" r:id="rId51"/>
    <hyperlink xmlns:r="http://schemas.openxmlformats.org/officeDocument/2006/relationships" ref="K29" display="Voir" r:id="rId52"/>
    <hyperlink xmlns:r="http://schemas.openxmlformats.org/officeDocument/2006/relationships" ref="I30" display="lemondedesjardins.fr" r:id="rId53"/>
    <hyperlink xmlns:r="http://schemas.openxmlformats.org/officeDocument/2006/relationships" ref="K30" display="Voir" r:id="rId54"/>
    <hyperlink xmlns:r="http://schemas.openxmlformats.org/officeDocument/2006/relationships" ref="I31" display="www.mca-materiaux.com" r:id="rId55"/>
    <hyperlink xmlns:r="http://schemas.openxmlformats.org/officeDocument/2006/relationships" ref="K31" display="Voir" r:id="rId56"/>
    <hyperlink xmlns:r="http://schemas.openxmlformats.org/officeDocument/2006/relationships" ref="I32" display="www.mdy-france.com" r:id="rId57"/>
    <hyperlink xmlns:r="http://schemas.openxmlformats.org/officeDocument/2006/relationships" ref="K32" display="Voir" r:id="rId58"/>
    <hyperlink xmlns:r="http://schemas.openxmlformats.org/officeDocument/2006/relationships" ref="I33" display="www.mpt-marbrier.fr" r:id="rId59"/>
    <hyperlink xmlns:r="http://schemas.openxmlformats.org/officeDocument/2006/relationships" ref="K33" display="Voir" r:id="rId60"/>
    <hyperlink xmlns:r="http://schemas.openxmlformats.org/officeDocument/2006/relationships" ref="K34" display="Voir" r:id="rId61"/>
    <hyperlink xmlns:r="http://schemas.openxmlformats.org/officeDocument/2006/relationships" ref="I35" display="www.pmc-marbrerie.com" r:id="rId62"/>
    <hyperlink xmlns:r="http://schemas.openxmlformats.org/officeDocument/2006/relationships" ref="K35" display="Voir" r:id="rId63"/>
    <hyperlink xmlns:r="http://schemas.openxmlformats.org/officeDocument/2006/relationships" ref="K36" display="Voir" r:id="rId64"/>
    <hyperlink xmlns:r="http://schemas.openxmlformats.org/officeDocument/2006/relationships" ref="I37" display="www.palatino.fr" r:id="rId65"/>
    <hyperlink xmlns:r="http://schemas.openxmlformats.org/officeDocument/2006/relationships" ref="K37" display="Voir" r:id="rId66"/>
    <hyperlink xmlns:r="http://schemas.openxmlformats.org/officeDocument/2006/relationships" ref="I38" display="www.parquet-carrelage.com" r:id="rId67"/>
    <hyperlink xmlns:r="http://schemas.openxmlformats.org/officeDocument/2006/relationships" ref="K38" display="Voir" r:id="rId68"/>
    <hyperlink xmlns:r="http://schemas.openxmlformats.org/officeDocument/2006/relationships" ref="I39" display="www.pierluxpierrenaturelle.fr" r:id="rId69"/>
    <hyperlink xmlns:r="http://schemas.openxmlformats.org/officeDocument/2006/relationships" ref="K39" display="Voir" r:id="rId70"/>
    <hyperlink xmlns:r="http://schemas.openxmlformats.org/officeDocument/2006/relationships" ref="I40" display="pierres-nat.com" r:id="rId71"/>
    <hyperlink xmlns:r="http://schemas.openxmlformats.org/officeDocument/2006/relationships" ref="K40" display="Voir" r:id="rId72"/>
    <hyperlink xmlns:r="http://schemas.openxmlformats.org/officeDocument/2006/relationships" ref="K41" display="Voir" r:id="rId73"/>
    <hyperlink xmlns:r="http://schemas.openxmlformats.org/officeDocument/2006/relationships" ref="I42" display="raboni.fr" r:id="rId74"/>
    <hyperlink xmlns:r="http://schemas.openxmlformats.org/officeDocument/2006/relationships" ref="K42" display="Voir" r:id="rId75"/>
    <hyperlink xmlns:r="http://schemas.openxmlformats.org/officeDocument/2006/relationships" ref="I43" display="www.sauvaje.fr" r:id="rId76"/>
    <hyperlink xmlns:r="http://schemas.openxmlformats.org/officeDocument/2006/relationships" ref="K43" display="Voir" r:id="rId77"/>
    <hyperlink xmlns:r="http://schemas.openxmlformats.org/officeDocument/2006/relationships" ref="I44" display="negoce.france-materiaux.fr/369-societe-nouvelle-nmc" r:id="rId78"/>
    <hyperlink xmlns:r="http://schemas.openxmlformats.org/officeDocument/2006/relationships" ref="K44" display="Voir" r:id="rId79"/>
    <hyperlink xmlns:r="http://schemas.openxmlformats.org/officeDocument/2006/relationships" ref="K45" display="Voir" r:id="rId80"/>
    <hyperlink xmlns:r="http://schemas.openxmlformats.org/officeDocument/2006/relationships" ref="I46" display="www.architea.fr/architea-pays-auge-cote-fleurie" r:id="rId81"/>
    <hyperlink xmlns:r="http://schemas.openxmlformats.org/officeDocument/2006/relationships" ref="K46" display="Voir" r:id="rId82"/>
    <hyperlink xmlns:r="http://schemas.openxmlformats.org/officeDocument/2006/relationships" ref="I47" display="www.arcytis.com" r:id="rId83"/>
    <hyperlink xmlns:r="http://schemas.openxmlformats.org/officeDocument/2006/relationships" ref="K47" display="Voir" r:id="rId84"/>
    <hyperlink xmlns:r="http://schemas.openxmlformats.org/officeDocument/2006/relationships" ref="I48" display="www.argilesdecoration.com" r:id="rId85"/>
    <hyperlink xmlns:r="http://schemas.openxmlformats.org/officeDocument/2006/relationships" ref="K48" display="Voir" r:id="rId86"/>
    <hyperlink xmlns:r="http://schemas.openxmlformats.org/officeDocument/2006/relationships" ref="I49" display="www.hemon-architectes.com" r:id="rId87"/>
    <hyperlink xmlns:r="http://schemas.openxmlformats.org/officeDocument/2006/relationships" ref="K49" display="Voir" r:id="rId88"/>
    <hyperlink xmlns:r="http://schemas.openxmlformats.org/officeDocument/2006/relationships" ref="I50" display="atelierdelapierremarbreetgranits.site-solocal.com" r:id="rId89"/>
    <hyperlink xmlns:r="http://schemas.openxmlformats.org/officeDocument/2006/relationships" ref="K50" display="Voir" r:id="rId90"/>
    <hyperlink xmlns:r="http://schemas.openxmlformats.org/officeDocument/2006/relationships" ref="I51" display="barbedettepaysage.fr" r:id="rId91"/>
    <hyperlink xmlns:r="http://schemas.openxmlformats.org/officeDocument/2006/relationships" ref="K51" display="Voir" r:id="rId92"/>
    <hyperlink xmlns:r="http://schemas.openxmlformats.org/officeDocument/2006/relationships" ref="K52" display="Voir" r:id="rId93"/>
    <hyperlink xmlns:r="http://schemas.openxmlformats.org/officeDocument/2006/relationships" ref="I53" display="www.bienetreconfort.fr" r:id="rId94"/>
    <hyperlink xmlns:r="http://schemas.openxmlformats.org/officeDocument/2006/relationships" ref="K53" display="Voir" r:id="rId95"/>
    <hyperlink xmlns:r="http://schemas.openxmlformats.org/officeDocument/2006/relationships" ref="K54" display="Voir" r:id="rId96"/>
    <hyperlink xmlns:r="http://schemas.openxmlformats.org/officeDocument/2006/relationships" ref="I55" display="www.bohinjardin.fr" r:id="rId97"/>
    <hyperlink xmlns:r="http://schemas.openxmlformats.org/officeDocument/2006/relationships" ref="K55" display="Voir" r:id="rId98"/>
    <hyperlink xmlns:r="http://schemas.openxmlformats.org/officeDocument/2006/relationships" ref="K56" display="Voir" r:id="rId99"/>
    <hyperlink xmlns:r="http://schemas.openxmlformats.org/officeDocument/2006/relationships" ref="K57" display="Voir" r:id="rId100"/>
    <hyperlink xmlns:r="http://schemas.openxmlformats.org/officeDocument/2006/relationships" ref="I58" display="www.conceptinterieurdeauville.com" r:id="rId101"/>
    <hyperlink xmlns:r="http://schemas.openxmlformats.org/officeDocument/2006/relationships" ref="K58" display="Voir" r:id="rId102"/>
    <hyperlink xmlns:r="http://schemas.openxmlformats.org/officeDocument/2006/relationships" ref="I59" display="www.piscines-delalande.fr" r:id="rId103"/>
    <hyperlink xmlns:r="http://schemas.openxmlformats.org/officeDocument/2006/relationships" ref="K59" display="Voir" r:id="rId104"/>
    <hyperlink xmlns:r="http://schemas.openxmlformats.org/officeDocument/2006/relationships" ref="K60" display="Voir" r:id="rId105"/>
    <hyperlink xmlns:r="http://schemas.openxmlformats.org/officeDocument/2006/relationships" ref="K61" display="Voir" r:id="rId106"/>
    <hyperlink xmlns:r="http://schemas.openxmlformats.org/officeDocument/2006/relationships" ref="I62" display="www.frazzi.fr" r:id="rId107"/>
    <hyperlink xmlns:r="http://schemas.openxmlformats.org/officeDocument/2006/relationships" ref="K62" display="Voir" r:id="rId108"/>
    <hyperlink xmlns:r="http://schemas.openxmlformats.org/officeDocument/2006/relationships" ref="K63" display="Voir" r:id="rId109"/>
    <hyperlink xmlns:r="http://schemas.openxmlformats.org/officeDocument/2006/relationships" ref="K64" display="Voir" r:id="rId110"/>
    <hyperlink xmlns:r="http://schemas.openxmlformats.org/officeDocument/2006/relationships" ref="I65" display="ginicarrelage.fr" r:id="rId111"/>
    <hyperlink xmlns:r="http://schemas.openxmlformats.org/officeDocument/2006/relationships" ref="K65" display="Voir" r:id="rId112"/>
    <hyperlink xmlns:r="http://schemas.openxmlformats.org/officeDocument/2006/relationships" ref="I66" display="www.paysagiste-auberville.fr" r:id="rId113"/>
    <hyperlink xmlns:r="http://schemas.openxmlformats.org/officeDocument/2006/relationships" ref="K66" display="Voir" r:id="rId114"/>
    <hyperlink xmlns:r="http://schemas.openxmlformats.org/officeDocument/2006/relationships" ref="K67" display="Voir" r:id="rId115"/>
    <hyperlink xmlns:r="http://schemas.openxmlformats.org/officeDocument/2006/relationships" ref="I68" display="granits-materiaux.fr" r:id="rId116"/>
    <hyperlink xmlns:r="http://schemas.openxmlformats.org/officeDocument/2006/relationships" ref="K68" display="Voir" r:id="rId117"/>
    <hyperlink xmlns:r="http://schemas.openxmlformats.org/officeDocument/2006/relationships" ref="I69" display="www.honnetconstructions.fr" r:id="rId118"/>
    <hyperlink xmlns:r="http://schemas.openxmlformats.org/officeDocument/2006/relationships" ref="K69" display="Voir" r:id="rId119"/>
    <hyperlink xmlns:r="http://schemas.openxmlformats.org/officeDocument/2006/relationships" ref="I70" display="www.jardinpassions.fr" r:id="rId120"/>
    <hyperlink xmlns:r="http://schemas.openxmlformats.org/officeDocument/2006/relationships" ref="K70" display="Voir" r:id="rId121"/>
    <hyperlink xmlns:r="http://schemas.openxmlformats.org/officeDocument/2006/relationships" ref="I71" display="www.la-roche-taillee.fr" r:id="rId122"/>
    <hyperlink xmlns:r="http://schemas.openxmlformats.org/officeDocument/2006/relationships" ref="K71" display="Voir" r:id="rId123"/>
    <hyperlink xmlns:r="http://schemas.openxmlformats.org/officeDocument/2006/relationships" ref="I72" display="www.larcher.fr" r:id="rId124"/>
    <hyperlink xmlns:r="http://schemas.openxmlformats.org/officeDocument/2006/relationships" ref="K72" display="Voir" r:id="rId125"/>
    <hyperlink xmlns:r="http://schemas.openxmlformats.org/officeDocument/2006/relationships" ref="I73" display="www.lesdemeuresdeprovince.fr" r:id="rId126"/>
    <hyperlink xmlns:r="http://schemas.openxmlformats.org/officeDocument/2006/relationships" ref="K73" display="Voir" r:id="rId127"/>
    <hyperlink xmlns:r="http://schemas.openxmlformats.org/officeDocument/2006/relationships" ref="I74" display="www.lespiscinesmoreau.com" r:id="rId128"/>
    <hyperlink xmlns:r="http://schemas.openxmlformats.org/officeDocument/2006/relationships" ref="K74" display="Voir" r:id="rId129"/>
    <hyperlink xmlns:r="http://schemas.openxmlformats.org/officeDocument/2006/relationships" ref="K75" display="Voir" r:id="rId130"/>
    <hyperlink xmlns:r="http://schemas.openxmlformats.org/officeDocument/2006/relationships" ref="I76" display="www.maillard.fr/magasins" r:id="rId131"/>
    <hyperlink xmlns:r="http://schemas.openxmlformats.org/officeDocument/2006/relationships" ref="K76" display="Voir" r:id="rId132"/>
    <hyperlink xmlns:r="http://schemas.openxmlformats.org/officeDocument/2006/relationships" ref="I77" display="www.maisonslucas.fr" r:id="rId133"/>
    <hyperlink xmlns:r="http://schemas.openxmlformats.org/officeDocument/2006/relationships" ref="K77" display="Voir" r:id="rId134"/>
    <hyperlink xmlns:r="http://schemas.openxmlformats.org/officeDocument/2006/relationships" ref="I78" display="www.marbresettendances.com" r:id="rId135"/>
    <hyperlink xmlns:r="http://schemas.openxmlformats.org/officeDocument/2006/relationships" ref="K78" display="Voir" r:id="rId136"/>
    <hyperlink xmlns:r="http://schemas.openxmlformats.org/officeDocument/2006/relationships" ref="K79" display="Voir" r:id="rId137"/>
    <hyperlink xmlns:r="http://schemas.openxmlformats.org/officeDocument/2006/relationships" ref="K80" display="Voir" r:id="rId138"/>
    <hyperlink xmlns:r="http://schemas.openxmlformats.org/officeDocument/2006/relationships" ref="I81" display="www.muretsol.fr" r:id="rId139"/>
    <hyperlink xmlns:r="http://schemas.openxmlformats.org/officeDocument/2006/relationships" ref="K81" display="Voir" r:id="rId140"/>
    <hyperlink xmlns:r="http://schemas.openxmlformats.org/officeDocument/2006/relationships" ref="I82" display="www.piolain-carrelage.fr" r:id="rId141"/>
    <hyperlink xmlns:r="http://schemas.openxmlformats.org/officeDocument/2006/relationships" ref="K82" display="Voir" r:id="rId142"/>
    <hyperlink xmlns:r="http://schemas.openxmlformats.org/officeDocument/2006/relationships" ref="I83" display="www.piscines-de-france.fr/piscinistes/pisciniste-le-havre" r:id="rId143"/>
    <hyperlink xmlns:r="http://schemas.openxmlformats.org/officeDocument/2006/relationships" ref="K83" display="Voir" r:id="rId144"/>
    <hyperlink xmlns:r="http://schemas.openxmlformats.org/officeDocument/2006/relationships" ref="I84" display="www.piscinesetabrisnordouest.fr" r:id="rId145"/>
    <hyperlink xmlns:r="http://schemas.openxmlformats.org/officeDocument/2006/relationships" ref="K84" display="Voir" r:id="rId146"/>
    <hyperlink xmlns:r="http://schemas.openxmlformats.org/officeDocument/2006/relationships" ref="I85" display="www.rpay.fr" r:id="rId147"/>
    <hyperlink xmlns:r="http://schemas.openxmlformats.org/officeDocument/2006/relationships" ref="K85" display="Voir" r:id="rId148"/>
    <hyperlink xmlns:r="http://schemas.openxmlformats.org/officeDocument/2006/relationships" ref="K86" display="Voir" r:id="rId149"/>
    <hyperlink xmlns:r="http://schemas.openxmlformats.org/officeDocument/2006/relationships" ref="I87" display="www.dumouchel.fr" r:id="rId150"/>
    <hyperlink xmlns:r="http://schemas.openxmlformats.org/officeDocument/2006/relationships" ref="K87" display="Voir" r:id="rId151"/>
    <hyperlink xmlns:r="http://schemas.openxmlformats.org/officeDocument/2006/relationships" ref="I88" display="www.vma14.com" r:id="rId152"/>
    <hyperlink xmlns:r="http://schemas.openxmlformats.org/officeDocument/2006/relationships" ref="K88" display="Voir" r:id="rId153"/>
    <hyperlink xmlns:r="http://schemas.openxmlformats.org/officeDocument/2006/relationships" ref="I89" display="www.vincent-locquet.fr" r:id="rId154"/>
    <hyperlink xmlns:r="http://schemas.openxmlformats.org/officeDocument/2006/relationships" ref="K89" display="Voir" r:id="rId155"/>
    <hyperlink xmlns:r="http://schemas.openxmlformats.org/officeDocument/2006/relationships" ref="I90" display="www.volkaert-constructions.fr" r:id="rId156"/>
    <hyperlink xmlns:r="http://schemas.openxmlformats.org/officeDocument/2006/relationships" ref="K90" display="Voir" r:id="rId157"/>
    <hyperlink xmlns:r="http://schemas.openxmlformats.org/officeDocument/2006/relationships" ref="I91" display="yl-carrelage.fr" r:id="rId158"/>
    <hyperlink xmlns:r="http://schemas.openxmlformats.org/officeDocument/2006/relationships" ref="K91" display="Voir" r:id="rId159"/>
    <hyperlink xmlns:r="http://schemas.openxmlformats.org/officeDocument/2006/relationships" ref="I92" display="agavepaysage.fr" r:id="rId160"/>
    <hyperlink xmlns:r="http://schemas.openxmlformats.org/officeDocument/2006/relationships" ref="K92" display="Voir" r:id="rId161"/>
    <hyperlink xmlns:r="http://schemas.openxmlformats.org/officeDocument/2006/relationships" ref="K93" display="Voir" r:id="rId162"/>
    <hyperlink xmlns:r="http://schemas.openxmlformats.org/officeDocument/2006/relationships" ref="K94" display="Voir" r:id="rId163"/>
    <hyperlink xmlns:r="http://schemas.openxmlformats.org/officeDocument/2006/relationships" ref="I95" display="www.apisflorae.com" r:id="rId164"/>
    <hyperlink xmlns:r="http://schemas.openxmlformats.org/officeDocument/2006/relationships" ref="K95" display="Voir" r:id="rId165"/>
    <hyperlink xmlns:r="http://schemas.openxmlformats.org/officeDocument/2006/relationships" ref="I96" display="aquagarden78.fr" r:id="rId166"/>
    <hyperlink xmlns:r="http://schemas.openxmlformats.org/officeDocument/2006/relationships" ref="K96" display="Voir" r:id="rId167"/>
    <hyperlink xmlns:r="http://schemas.openxmlformats.org/officeDocument/2006/relationships" ref="I97" display="www.architea.fr/architea-vallee-de-la-seine-ouest" r:id="rId168"/>
    <hyperlink xmlns:r="http://schemas.openxmlformats.org/officeDocument/2006/relationships" ref="K97" display="Voir" r:id="rId169"/>
    <hyperlink xmlns:r="http://schemas.openxmlformats.org/officeDocument/2006/relationships" ref="I98" display="www.archivim.fr" r:id="rId170"/>
    <hyperlink xmlns:r="http://schemas.openxmlformats.org/officeDocument/2006/relationships" ref="K98" display="Voir" r:id="rId171"/>
    <hyperlink xmlns:r="http://schemas.openxmlformats.org/officeDocument/2006/relationships" ref="I99" display="www.artdesjardins-zory.fr" r:id="rId172"/>
    <hyperlink xmlns:r="http://schemas.openxmlformats.org/officeDocument/2006/relationships" ref="K99" display="Voir" r:id="rId173"/>
    <hyperlink xmlns:r="http://schemas.openxmlformats.org/officeDocument/2006/relationships" ref="I100" display="www.atelier-concept-paysage.com" r:id="rId174"/>
    <hyperlink xmlns:r="http://schemas.openxmlformats.org/officeDocument/2006/relationships" ref="K100" display="Voir" r:id="rId175"/>
    <hyperlink xmlns:r="http://schemas.openxmlformats.org/officeDocument/2006/relationships" ref="K101" display="Voir" r:id="rId176"/>
    <hyperlink xmlns:r="http://schemas.openxmlformats.org/officeDocument/2006/relationships" ref="I102" display="www.baticentre.fr" r:id="rId177"/>
    <hyperlink xmlns:r="http://schemas.openxmlformats.org/officeDocument/2006/relationships" ref="K102" display="Voir" r:id="rId178"/>
    <hyperlink xmlns:r="http://schemas.openxmlformats.org/officeDocument/2006/relationships" ref="I103" display="www.blocstone.com" r:id="rId179"/>
    <hyperlink xmlns:r="http://schemas.openxmlformats.org/officeDocument/2006/relationships" ref="K103" display="Voir" r:id="rId180"/>
    <hyperlink xmlns:r="http://schemas.openxmlformats.org/officeDocument/2006/relationships" ref="I104" display="ci-renovation-78.fr" r:id="rId181"/>
    <hyperlink xmlns:r="http://schemas.openxmlformats.org/officeDocument/2006/relationships" ref="K104" display="Voir" r:id="rId182"/>
    <hyperlink xmlns:r="http://schemas.openxmlformats.org/officeDocument/2006/relationships" ref="I105" display="www.ceramica.fr" r:id="rId183"/>
    <hyperlink xmlns:r="http://schemas.openxmlformats.org/officeDocument/2006/relationships" ref="K105" display="Voir" r:id="rId184"/>
    <hyperlink xmlns:r="http://schemas.openxmlformats.org/officeDocument/2006/relationships" ref="K106" display="Voir" r:id="rId185"/>
    <hyperlink xmlns:r="http://schemas.openxmlformats.org/officeDocument/2006/relationships" ref="I107" display="www.dps-france.fr" r:id="rId186"/>
    <hyperlink xmlns:r="http://schemas.openxmlformats.org/officeDocument/2006/relationships" ref="K107" display="Voir" r:id="rId187"/>
    <hyperlink xmlns:r="http://schemas.openxmlformats.org/officeDocument/2006/relationships" ref="K108" display="Voir" r:id="rId188"/>
    <hyperlink xmlns:r="http://schemas.openxmlformats.org/officeDocument/2006/relationships" ref="K109" display="Voir" r:id="rId189"/>
    <hyperlink xmlns:r="http://schemas.openxmlformats.org/officeDocument/2006/relationships" ref="I110" display="edenvatinel.fr" r:id="rId190"/>
    <hyperlink xmlns:r="http://schemas.openxmlformats.org/officeDocument/2006/relationships" ref="K110" display="Voir" r:id="rId191"/>
    <hyperlink xmlns:r="http://schemas.openxmlformats.org/officeDocument/2006/relationships" ref="I111" display="www.carrelage-marbre-iledefrance.fr" r:id="rId192"/>
    <hyperlink xmlns:r="http://schemas.openxmlformats.org/officeDocument/2006/relationships" ref="K111" display="Voir" r:id="rId193"/>
    <hyperlink xmlns:r="http://schemas.openxmlformats.org/officeDocument/2006/relationships" ref="I112" display="www.kenny-entreprise.fr" r:id="rId194"/>
    <hyperlink xmlns:r="http://schemas.openxmlformats.org/officeDocument/2006/relationships" ref="K112" display="Voir" r:id="rId195"/>
    <hyperlink xmlns:r="http://schemas.openxmlformats.org/officeDocument/2006/relationships" ref="K113" display="Voir" r:id="rId196"/>
    <hyperlink xmlns:r="http://schemas.openxmlformats.org/officeDocument/2006/relationships" ref="I114" display="www.ftp-services.fr" r:id="rId197"/>
    <hyperlink xmlns:r="http://schemas.openxmlformats.org/officeDocument/2006/relationships" ref="K114" display="Voir" r:id="rId198"/>
    <hyperlink xmlns:r="http://schemas.openxmlformats.org/officeDocument/2006/relationships" ref="I115" display="www.fontainepaysage.fr" r:id="rId199"/>
    <hyperlink xmlns:r="http://schemas.openxmlformats.org/officeDocument/2006/relationships" ref="K115" display="Voir" r:id="rId200"/>
    <hyperlink xmlns:r="http://schemas.openxmlformats.org/officeDocument/2006/relationships" ref="I116" display="www.hotelsbarriere.com/fr/enghien-les-bains/le-grand-hotel.html" r:id="rId201"/>
    <hyperlink xmlns:r="http://schemas.openxmlformats.org/officeDocument/2006/relationships" ref="K116" display="Voir" r:id="rId202"/>
    <hyperlink xmlns:r="http://schemas.openxmlformats.org/officeDocument/2006/relationships" ref="I117" display="www.idoine-piscines.com" r:id="rId203"/>
    <hyperlink xmlns:r="http://schemas.openxmlformats.org/officeDocument/2006/relationships" ref="K117" display="Voir" r:id="rId204"/>
    <hyperlink xmlns:r="http://schemas.openxmlformats.org/officeDocument/2006/relationships" ref="I118" display="www.idealpiscine.com" r:id="rId205"/>
    <hyperlink xmlns:r="http://schemas.openxmlformats.org/officeDocument/2006/relationships" ref="K118" display="Voir" r:id="rId206"/>
    <hyperlink xmlns:r="http://schemas.openxmlformats.org/officeDocument/2006/relationships" ref="I119" display="www.jardins-et-ambiances.com" r:id="rId207"/>
    <hyperlink xmlns:r="http://schemas.openxmlformats.org/officeDocument/2006/relationships" ref="K119" display="Voir" r:id="rId208"/>
    <hyperlink xmlns:r="http://schemas.openxmlformats.org/officeDocument/2006/relationships" ref="K120" display="Voir" r:id="rId209"/>
    <hyperlink xmlns:r="http://schemas.openxmlformats.org/officeDocument/2006/relationships" ref="I121" display="www.kristech.fr" r:id="rId210"/>
    <hyperlink xmlns:r="http://schemas.openxmlformats.org/officeDocument/2006/relationships" ref="K121" display="Voir" r:id="rId211"/>
    <hyperlink xmlns:r="http://schemas.openxmlformats.org/officeDocument/2006/relationships" ref="I122" display="l-esprit-au-vert-71b05.houzzsite.com" r:id="rId212"/>
    <hyperlink xmlns:r="http://schemas.openxmlformats.org/officeDocument/2006/relationships" ref="K122" display="Voir" r:id="rId213"/>
    <hyperlink xmlns:r="http://schemas.openxmlformats.org/officeDocument/2006/relationships" ref="I123" display="www.la-boutique-piscine-spa.fr" r:id="rId214"/>
    <hyperlink xmlns:r="http://schemas.openxmlformats.org/officeDocument/2006/relationships" ref="K123" display="Voir" r:id="rId215"/>
    <hyperlink xmlns:r="http://schemas.openxmlformats.org/officeDocument/2006/relationships" ref="I124" display="www.lesjardinsdechevreuse.fr" r:id="rId216"/>
    <hyperlink xmlns:r="http://schemas.openxmlformats.org/officeDocument/2006/relationships" ref="K124" display="Voir" r:id="rId217"/>
    <hyperlink xmlns:r="http://schemas.openxmlformats.org/officeDocument/2006/relationships" ref="I125" display="www.jardinsdejulien.com" r:id="rId218"/>
    <hyperlink xmlns:r="http://schemas.openxmlformats.org/officeDocument/2006/relationships" ref="K125" display="Voir" r:id="rId219"/>
    <hyperlink xmlns:r="http://schemas.openxmlformats.org/officeDocument/2006/relationships" ref="I126" display="www.jardinsdelavallee.fr" r:id="rId220"/>
    <hyperlink xmlns:r="http://schemas.openxmlformats.org/officeDocument/2006/relationships" ref="K126" display="Voir" r:id="rId221"/>
    <hyperlink xmlns:r="http://schemas.openxmlformats.org/officeDocument/2006/relationships" ref="K127" display="Voir" r:id="rId222"/>
    <hyperlink xmlns:r="http://schemas.openxmlformats.org/officeDocument/2006/relationships" ref="I128" display="www.marbreriempg.paris" r:id="rId223"/>
    <hyperlink xmlns:r="http://schemas.openxmlformats.org/officeDocument/2006/relationships" ref="K128" display="Voir" r:id="rId224"/>
    <hyperlink xmlns:r="http://schemas.openxmlformats.org/officeDocument/2006/relationships" ref="I129" display="www.maison-laborde.fr" r:id="rId225"/>
    <hyperlink xmlns:r="http://schemas.openxmlformats.org/officeDocument/2006/relationships" ref="K129" display="Voir" r:id="rId226"/>
    <hyperlink xmlns:r="http://schemas.openxmlformats.org/officeDocument/2006/relationships" ref="I130" display="www.maisonsarchidesign.com" r:id="rId227"/>
    <hyperlink xmlns:r="http://schemas.openxmlformats.org/officeDocument/2006/relationships" ref="K130" display="Voir" r:id="rId228"/>
    <hyperlink xmlns:r="http://schemas.openxmlformats.org/officeDocument/2006/relationships" ref="K131" display="Voir" r:id="rId229"/>
    <hyperlink xmlns:r="http://schemas.openxmlformats.org/officeDocument/2006/relationships" ref="K132" display="Voir" r:id="rId230"/>
    <hyperlink xmlns:r="http://schemas.openxmlformats.org/officeDocument/2006/relationships" ref="I133" display="modernworks.fr" r:id="rId231"/>
    <hyperlink xmlns:r="http://schemas.openxmlformats.org/officeDocument/2006/relationships" ref="K133" display="Voir" r:id="rId232"/>
    <hyperlink xmlns:r="http://schemas.openxmlformats.org/officeDocument/2006/relationships" ref="I134" display="www.penseeaujardin.fr" r:id="rId233"/>
    <hyperlink xmlns:r="http://schemas.openxmlformats.org/officeDocument/2006/relationships" ref="K134" display="Voir" r:id="rId234"/>
    <hyperlink xmlns:r="http://schemas.openxmlformats.org/officeDocument/2006/relationships" ref="I135" display="www.piscines-spas-iledefrance.fr" r:id="rId235"/>
    <hyperlink xmlns:r="http://schemas.openxmlformats.org/officeDocument/2006/relationships" ref="K135" display="Voir" r:id="rId236"/>
    <hyperlink xmlns:r="http://schemas.openxmlformats.org/officeDocument/2006/relationships" ref="I136" display="planstone.fr" r:id="rId237"/>
    <hyperlink xmlns:r="http://schemas.openxmlformats.org/officeDocument/2006/relationships" ref="K136" display="Voir" r:id="rId238"/>
    <hyperlink xmlns:r="http://schemas.openxmlformats.org/officeDocument/2006/relationships" ref="I137" display="www.marbrerie.com" r:id="rId239"/>
    <hyperlink xmlns:r="http://schemas.openxmlformats.org/officeDocument/2006/relationships" ref="K137" display="Voir" r:id="rId240"/>
    <hyperlink xmlns:r="http://schemas.openxmlformats.org/officeDocument/2006/relationships" ref="K138" display="Voir" r:id="rId241"/>
    <hyperlink xmlns:r="http://schemas.openxmlformats.org/officeDocument/2006/relationships" ref="I139" display="www.socorebat-95.fr" r:id="rId242"/>
    <hyperlink xmlns:r="http://schemas.openxmlformats.org/officeDocument/2006/relationships" ref="K139" display="Voir" r:id="rId243"/>
    <hyperlink xmlns:r="http://schemas.openxmlformats.org/officeDocument/2006/relationships" ref="K140" display="Voir" r:id="rId244"/>
    <hyperlink xmlns:r="http://schemas.openxmlformats.org/officeDocument/2006/relationships" ref="I141" display="terrasseetjardindeparis.com" r:id="rId245"/>
    <hyperlink xmlns:r="http://schemas.openxmlformats.org/officeDocument/2006/relationships" ref="K141" display="Voir" r:id="rId246"/>
    <hyperlink xmlns:r="http://schemas.openxmlformats.org/officeDocument/2006/relationships" ref="I142" display="www.triomphe-home.fr" r:id="rId247"/>
    <hyperlink xmlns:r="http://schemas.openxmlformats.org/officeDocument/2006/relationships" ref="K142" display="Voir" r:id="rId248"/>
    <hyperlink xmlns:r="http://schemas.openxmlformats.org/officeDocument/2006/relationships" ref="K143" display="Voir" r:id="rId249"/>
    <hyperlink xmlns:r="http://schemas.openxmlformats.org/officeDocument/2006/relationships" ref="K144" display="Voir" r:id="rId250"/>
    <hyperlink xmlns:r="http://schemas.openxmlformats.org/officeDocument/2006/relationships" ref="I145" display="www.wildrenovation.fr" r:id="rId251"/>
    <hyperlink xmlns:r="http://schemas.openxmlformats.org/officeDocument/2006/relationships" ref="K145" display="Voir" r:id="rId252"/>
    <hyperlink xmlns:r="http://schemas.openxmlformats.org/officeDocument/2006/relationships" ref="I146" display="www.yvelinestradition.fr" r:id="rId253"/>
    <hyperlink xmlns:r="http://schemas.openxmlformats.org/officeDocument/2006/relationships" ref="K146" display="Voir" r:id="rId254"/>
    <hyperlink xmlns:r="http://schemas.openxmlformats.org/officeDocument/2006/relationships" ref="I147" display="mmnk.fr" r:id="rId255"/>
    <hyperlink xmlns:r="http://schemas.openxmlformats.org/officeDocument/2006/relationships" ref="K147" display="Voir" r:id="rId256"/>
    <hyperlink xmlns:r="http://schemas.openxmlformats.org/officeDocument/2006/relationships" ref="I148" display="www.act-mo.fr" r:id="rId257"/>
    <hyperlink xmlns:r="http://schemas.openxmlformats.org/officeDocument/2006/relationships" ref="K148" display="Voir" r:id="rId258"/>
    <hyperlink xmlns:r="http://schemas.openxmlformats.org/officeDocument/2006/relationships" ref="K149" display="Voir" r:id="rId259"/>
    <hyperlink xmlns:r="http://schemas.openxmlformats.org/officeDocument/2006/relationships" ref="K150" display="Voir" r:id="rId260"/>
    <hyperlink xmlns:r="http://schemas.openxmlformats.org/officeDocument/2006/relationships" ref="K151" display="Voir" r:id="rId261"/>
    <hyperlink xmlns:r="http://schemas.openxmlformats.org/officeDocument/2006/relationships" ref="I152" display="www.ec3s.fr" r:id="rId262"/>
    <hyperlink xmlns:r="http://schemas.openxmlformats.org/officeDocument/2006/relationships" ref="K152" display="Voir" r:id="rId263"/>
    <hyperlink xmlns:r="http://schemas.openxmlformats.org/officeDocument/2006/relationships" ref="K153" display="Voir" r:id="rId264"/>
    <hyperlink xmlns:r="http://schemas.openxmlformats.org/officeDocument/2006/relationships" ref="I154" display="www.gueudry.fr" r:id="rId265"/>
    <hyperlink xmlns:r="http://schemas.openxmlformats.org/officeDocument/2006/relationships" ref="K154" display="Voir" r:id="rId266"/>
    <hyperlink xmlns:r="http://schemas.openxmlformats.org/officeDocument/2006/relationships" ref="I155" display="laurencevermontdecoration.fr" r:id="rId267"/>
    <hyperlink xmlns:r="http://schemas.openxmlformats.org/officeDocument/2006/relationships" ref="K155" display="Voir" r:id="rId268"/>
    <hyperlink xmlns:r="http://schemas.openxmlformats.org/officeDocument/2006/relationships" ref="I156" display="masolution-habitat.fr" r:id="rId269"/>
    <hyperlink xmlns:r="http://schemas.openxmlformats.org/officeDocument/2006/relationships" ref="K156" display="Voir" r:id="rId270"/>
    <hyperlink xmlns:r="http://schemas.openxmlformats.org/officeDocument/2006/relationships" ref="K157" display="Voir" r:id="rId271"/>
    <hyperlink xmlns:r="http://schemas.openxmlformats.org/officeDocument/2006/relationships" ref="I158" display="www.socoren.com" r:id="rId272"/>
    <hyperlink xmlns:r="http://schemas.openxmlformats.org/officeDocument/2006/relationships" ref="K158" display="Voir" r:id="rId273"/>
    <hyperlink xmlns:r="http://schemas.openxmlformats.org/officeDocument/2006/relationships" ref="K159" display="Voir" r:id="rId274"/>
    <hyperlink xmlns:r="http://schemas.openxmlformats.org/officeDocument/2006/relationships" ref="K160" display="Voir" r:id="rId275"/>
    <hyperlink xmlns:r="http://schemas.openxmlformats.org/officeDocument/2006/relationships" ref="I161" display="rouen.mondial-piscine.eu" r:id="rId276"/>
    <hyperlink xmlns:r="http://schemas.openxmlformats.org/officeDocument/2006/relationships" ref="K161" display="Voir" r:id="rId277"/>
    <hyperlink xmlns:r="http://schemas.openxmlformats.org/officeDocument/2006/relationships" ref="I162" display="abdecoration.fr" r:id="rId278"/>
    <hyperlink xmlns:r="http://schemas.openxmlformats.org/officeDocument/2006/relationships" ref="K162" display="Voir" r:id="rId279"/>
    <hyperlink xmlns:r="http://schemas.openxmlformats.org/officeDocument/2006/relationships" ref="K163" display="Voir" r:id="rId280"/>
    <hyperlink xmlns:r="http://schemas.openxmlformats.org/officeDocument/2006/relationships" ref="I164" display="tribehotels.com/en/france/cabourg" r:id="rId281"/>
    <hyperlink xmlns:r="http://schemas.openxmlformats.org/officeDocument/2006/relationships" ref="K164" display="Voir" r:id="rId282"/>
    <hyperlink xmlns:r="http://schemas.openxmlformats.org/officeDocument/2006/relationships" ref="I165" display="terralia-immobilier.fr" r:id="rId283"/>
    <hyperlink xmlns:r="http://schemas.openxmlformats.org/officeDocument/2006/relationships" ref="K165" display="Voir" r:id="rId284"/>
    <hyperlink xmlns:r="http://schemas.openxmlformats.org/officeDocument/2006/relationships" ref="K166" display="Voir" r:id="rId285"/>
    <hyperlink xmlns:r="http://schemas.openxmlformats.org/officeDocument/2006/relationships" ref="I167" display="ynspir.com" r:id="rId286"/>
    <hyperlink xmlns:r="http://schemas.openxmlformats.org/officeDocument/2006/relationships" ref="K167" display="Voir" r:id="rId287"/>
    <hyperlink xmlns:r="http://schemas.openxmlformats.org/officeDocument/2006/relationships" ref="I168" display="www.eric-devaux.fr" r:id="rId288"/>
    <hyperlink xmlns:r="http://schemas.openxmlformats.org/officeDocument/2006/relationships" ref="K168" display="Voir" r:id="rId289"/>
    <hyperlink xmlns:r="http://schemas.openxmlformats.org/officeDocument/2006/relationships" ref="K169" display="Voir" r:id="rId290"/>
    <hyperlink xmlns:r="http://schemas.openxmlformats.org/officeDocument/2006/relationships" ref="I170" display="www.antunesjardinage.fr" r:id="rId291"/>
    <hyperlink xmlns:r="http://schemas.openxmlformats.org/officeDocument/2006/relationships" ref="K170" display="Voir" r:id="rId292"/>
    <hyperlink xmlns:r="http://schemas.openxmlformats.org/officeDocument/2006/relationships" ref="I171" display="www.aqua-system.fr" r:id="rId293"/>
    <hyperlink xmlns:r="http://schemas.openxmlformats.org/officeDocument/2006/relationships" ref="K171" display="Voir" r:id="rId294"/>
    <hyperlink xmlns:r="http://schemas.openxmlformats.org/officeDocument/2006/relationships" ref="K172" display="Voir" r:id="rId295"/>
    <hyperlink xmlns:r="http://schemas.openxmlformats.org/officeDocument/2006/relationships" ref="I173" display="www.atelierceben.com" r:id="rId296"/>
    <hyperlink xmlns:r="http://schemas.openxmlformats.org/officeDocument/2006/relationships" ref="K173" display="Voir" r:id="rId297"/>
    <hyperlink xmlns:r="http://schemas.openxmlformats.org/officeDocument/2006/relationships" ref="K174" display="Voir" r:id="rId298"/>
    <hyperlink xmlns:r="http://schemas.openxmlformats.org/officeDocument/2006/relationships" ref="I175" display="balcoon.fr" r:id="rId299"/>
    <hyperlink xmlns:r="http://schemas.openxmlformats.org/officeDocument/2006/relationships" ref="K175" display="Voir" r:id="rId300"/>
    <hyperlink xmlns:r="http://schemas.openxmlformats.org/officeDocument/2006/relationships" ref="I176" display="www.belmard-batiment.fr" r:id="rId301"/>
    <hyperlink xmlns:r="http://schemas.openxmlformats.org/officeDocument/2006/relationships" ref="K176" display="Voir" r:id="rId302"/>
    <hyperlink xmlns:r="http://schemas.openxmlformats.org/officeDocument/2006/relationships" ref="I177" display="www.benebatti.fr" r:id="rId303"/>
    <hyperlink xmlns:r="http://schemas.openxmlformats.org/officeDocument/2006/relationships" ref="K177" display="Voir" r:id="rId304"/>
    <hyperlink xmlns:r="http://schemas.openxmlformats.org/officeDocument/2006/relationships" ref="K178" display="Voir" r:id="rId305"/>
    <hyperlink xmlns:r="http://schemas.openxmlformats.org/officeDocument/2006/relationships" ref="I179" display="duhamel-paysagiste.fr" r:id="rId306"/>
    <hyperlink xmlns:r="http://schemas.openxmlformats.org/officeDocument/2006/relationships" ref="K179" display="Voir" r:id="rId307"/>
    <hyperlink xmlns:r="http://schemas.openxmlformats.org/officeDocument/2006/relationships" ref="I180" display="www.francemaisons-idf.com" r:id="rId308"/>
    <hyperlink xmlns:r="http://schemas.openxmlformats.org/officeDocument/2006/relationships" ref="K180" display="Voir" r:id="rId309"/>
    <hyperlink xmlns:r="http://schemas.openxmlformats.org/officeDocument/2006/relationships" ref="I181" display="www.franpierre-herblay.fr" r:id="rId310"/>
    <hyperlink xmlns:r="http://schemas.openxmlformats.org/officeDocument/2006/relationships" ref="K181" display="Voir" r:id="rId311"/>
    <hyperlink xmlns:r="http://schemas.openxmlformats.org/officeDocument/2006/relationships" ref="I182" display="www.henocquepiscines.fr" r:id="rId312"/>
    <hyperlink xmlns:r="http://schemas.openxmlformats.org/officeDocument/2006/relationships" ref="K182" display="Voir" r:id="rId313"/>
    <hyperlink xmlns:r="http://schemas.openxmlformats.org/officeDocument/2006/relationships" ref="I183" display="www.jardinsdelorangerie.com/jardins-orangerie-montmorency" r:id="rId314"/>
    <hyperlink xmlns:r="http://schemas.openxmlformats.org/officeDocument/2006/relationships" ref="K183" display="Voir" r:id="rId315"/>
    <hyperlink xmlns:r="http://schemas.openxmlformats.org/officeDocument/2006/relationships" ref="K184" display="Voir" r:id="rId316"/>
    <hyperlink xmlns:r="http://schemas.openxmlformats.org/officeDocument/2006/relationships" ref="I185" display="www.mersi-architecture.com" r:id="rId317"/>
    <hyperlink xmlns:r="http://schemas.openxmlformats.org/officeDocument/2006/relationships" ref="K185" display="Voir" r:id="rId318"/>
    <hyperlink xmlns:r="http://schemas.openxmlformats.org/officeDocument/2006/relationships" ref="I186" display="www.serge-gautier.com" r:id="rId319"/>
    <hyperlink xmlns:r="http://schemas.openxmlformats.org/officeDocument/2006/relationships" ref="K186" display="Voir" r:id="rId320"/>
    <hyperlink xmlns:r="http://schemas.openxmlformats.org/officeDocument/2006/relationships" ref="I187" display="www.marbreriedevitry.fr" r:id="rId321"/>
    <hyperlink xmlns:r="http://schemas.openxmlformats.org/officeDocument/2006/relationships" ref="K187" display="Voir" r:id="rId322"/>
    <hyperlink xmlns:r="http://schemas.openxmlformats.org/officeDocument/2006/relationships" ref="I188" display="www.naturo-paysages.fr" r:id="rId323"/>
    <hyperlink xmlns:r="http://schemas.openxmlformats.org/officeDocument/2006/relationships" ref="K188" display="Voir" r:id="rId324"/>
    <hyperlink xmlns:r="http://schemas.openxmlformats.org/officeDocument/2006/relationships" ref="I189" display="www.oceapiscine.fr" r:id="rId325"/>
    <hyperlink xmlns:r="http://schemas.openxmlformats.org/officeDocument/2006/relationships" ref="K189" display="Voir" r:id="rId326"/>
    <hyperlink xmlns:r="http://schemas.openxmlformats.org/officeDocument/2006/relationships" ref="K190" display="Voir" r:id="rId327"/>
    <hyperlink xmlns:r="http://schemas.openxmlformats.org/officeDocument/2006/relationships" ref="I191" display="www.ops-ouestpiscines.fr" r:id="rId328"/>
    <hyperlink xmlns:r="http://schemas.openxmlformats.org/officeDocument/2006/relationships" ref="K191" display="Voir" r:id="rId329"/>
    <hyperlink xmlns:r="http://schemas.openxmlformats.org/officeDocument/2006/relationships" ref="I192" display="www.paysagiste-pro-vert.fr" r:id="rId330"/>
    <hyperlink xmlns:r="http://schemas.openxmlformats.org/officeDocument/2006/relationships" ref="K192" display="Voir" r:id="rId331"/>
    <hyperlink xmlns:r="http://schemas.openxmlformats.org/officeDocument/2006/relationships" ref="I193" display="real-marbre.com" r:id="rId332"/>
    <hyperlink xmlns:r="http://schemas.openxmlformats.org/officeDocument/2006/relationships" ref="K193" display="Voir" r:id="rId333"/>
    <hyperlink xmlns:r="http://schemas.openxmlformats.org/officeDocument/2006/relationships" ref="K194" display="Voir" r:id="rId334"/>
    <hyperlink xmlns:r="http://schemas.openxmlformats.org/officeDocument/2006/relationships" ref="K195" display="Voir" r:id="rId335"/>
    <hyperlink xmlns:r="http://schemas.openxmlformats.org/officeDocument/2006/relationships" ref="I196" display="www.simonsonlandscape.com" r:id="rId336"/>
    <hyperlink xmlns:r="http://schemas.openxmlformats.org/officeDocument/2006/relationships" ref="K196" display="Voir" r:id="rId337"/>
    <hyperlink xmlns:r="http://schemas.openxmlformats.org/officeDocument/2006/relationships" ref="K197" display="Voir" r:id="rId338"/>
    <hyperlink xmlns:r="http://schemas.openxmlformats.org/officeDocument/2006/relationships" ref="I198" display="www.terrassesdesoliviers.com" r:id="rId339"/>
    <hyperlink xmlns:r="http://schemas.openxmlformats.org/officeDocument/2006/relationships" ref="K198" display="Voir" r:id="rId340"/>
    <hyperlink xmlns:r="http://schemas.openxmlformats.org/officeDocument/2006/relationships" ref="K199" display="Voir" r:id="rId341"/>
    <hyperlink xmlns:r="http://schemas.openxmlformats.org/officeDocument/2006/relationships" ref="K200" display="Voir" r:id="rId342"/>
    <hyperlink xmlns:r="http://schemas.openxmlformats.org/officeDocument/2006/relationships" ref="K201" display="Voir" r:id="rId343"/>
    <hyperlink xmlns:r="http://schemas.openxmlformats.org/officeDocument/2006/relationships" ref="K202" display="Voir" r:id="rId344"/>
    <hyperlink xmlns:r="http://schemas.openxmlformats.org/officeDocument/2006/relationships" ref="K203" display="Voir" r:id="rId345"/>
    <hyperlink xmlns:r="http://schemas.openxmlformats.org/officeDocument/2006/relationships" ref="K204" display="Voir" r:id="rId346"/>
    <hyperlink xmlns:r="http://schemas.openxmlformats.org/officeDocument/2006/relationships" ref="K205" display="Voir" r:id="rId347"/>
    <hyperlink xmlns:r="http://schemas.openxmlformats.org/officeDocument/2006/relationships" ref="K206" display="Voir" r:id="rId348"/>
    <hyperlink xmlns:r="http://schemas.openxmlformats.org/officeDocument/2006/relationships" ref="K207" display="Voir" r:id="rId349"/>
    <hyperlink xmlns:r="http://schemas.openxmlformats.org/officeDocument/2006/relationships" ref="K208" display="Voir" r:id="rId350"/>
    <hyperlink xmlns:r="http://schemas.openxmlformats.org/officeDocument/2006/relationships" ref="K209" display="Voir" r:id="rId351"/>
    <hyperlink xmlns:r="http://schemas.openxmlformats.org/officeDocument/2006/relationships" ref="K210" display="Voir" r:id="rId352"/>
    <hyperlink xmlns:r="http://schemas.openxmlformats.org/officeDocument/2006/relationships" ref="K211" display="Voir" r:id="rId353"/>
    <hyperlink xmlns:r="http://schemas.openxmlformats.org/officeDocument/2006/relationships" ref="K212" display="Voir" r:id="rId354"/>
    <hyperlink xmlns:r="http://schemas.openxmlformats.org/officeDocument/2006/relationships" ref="K213" display="Voir" r:id="rId355"/>
    <hyperlink xmlns:r="http://schemas.openxmlformats.org/officeDocument/2006/relationships" ref="K214" display="Voir" r:id="rId356"/>
    <hyperlink xmlns:r="http://schemas.openxmlformats.org/officeDocument/2006/relationships" ref="K215" display="Voir" r:id="rId357"/>
    <hyperlink xmlns:r="http://schemas.openxmlformats.org/officeDocument/2006/relationships" ref="K216" display="Voir" r:id="rId358"/>
    <hyperlink xmlns:r="http://schemas.openxmlformats.org/officeDocument/2006/relationships" ref="K217" display="Voir" r:id="rId359"/>
    <hyperlink xmlns:r="http://schemas.openxmlformats.org/officeDocument/2006/relationships" ref="K218" display="Voir" r:id="rId360"/>
    <hyperlink xmlns:r="http://schemas.openxmlformats.org/officeDocument/2006/relationships" ref="K219" display="Voir" r:id="rId361"/>
    <hyperlink xmlns:r="http://schemas.openxmlformats.org/officeDocument/2006/relationships" ref="K220" display="Voir" r:id="rId362"/>
    <hyperlink xmlns:r="http://schemas.openxmlformats.org/officeDocument/2006/relationships" ref="K221" display="Voir" r:id="rId363"/>
    <hyperlink xmlns:r="http://schemas.openxmlformats.org/officeDocument/2006/relationships" ref="K222" display="Voir" r:id="rId364"/>
    <hyperlink xmlns:r="http://schemas.openxmlformats.org/officeDocument/2006/relationships" ref="K223" display="Voir" r:id="rId365"/>
    <hyperlink xmlns:r="http://schemas.openxmlformats.org/officeDocument/2006/relationships" ref="K224" display="Voir" r:id="rId366"/>
    <hyperlink xmlns:r="http://schemas.openxmlformats.org/officeDocument/2006/relationships" ref="K225" display="Voir" r:id="rId367"/>
    <hyperlink xmlns:r="http://schemas.openxmlformats.org/officeDocument/2006/relationships" ref="K226" display="Voir" r:id="rId368"/>
    <hyperlink xmlns:r="http://schemas.openxmlformats.org/officeDocument/2006/relationships" ref="K227" display="Voir" r:id="rId369"/>
    <hyperlink xmlns:r="http://schemas.openxmlformats.org/officeDocument/2006/relationships" ref="K228" display="Voir" r:id="rId370"/>
    <hyperlink xmlns:r="http://schemas.openxmlformats.org/officeDocument/2006/relationships" ref="K229" display="Voir" r:id="rId371"/>
    <hyperlink xmlns:r="http://schemas.openxmlformats.org/officeDocument/2006/relationships" ref="K230" display="Voir" r:id="rId372"/>
    <hyperlink xmlns:r="http://schemas.openxmlformats.org/officeDocument/2006/relationships" ref="K231" display="Voir" r:id="rId373"/>
    <hyperlink xmlns:r="http://schemas.openxmlformats.org/officeDocument/2006/relationships" ref="K232" display="Voir" r:id="rId374"/>
    <hyperlink xmlns:r="http://schemas.openxmlformats.org/officeDocument/2006/relationships" ref="K233" display="Voir" r:id="rId375"/>
    <hyperlink xmlns:r="http://schemas.openxmlformats.org/officeDocument/2006/relationships" ref="K234" display="Voir" r:id="rId376"/>
    <hyperlink xmlns:r="http://schemas.openxmlformats.org/officeDocument/2006/relationships" ref="K235" display="Voir" r:id="rId377"/>
    <hyperlink xmlns:r="http://schemas.openxmlformats.org/officeDocument/2006/relationships" ref="K236" display="Voir" r:id="rId378"/>
    <hyperlink xmlns:r="http://schemas.openxmlformats.org/officeDocument/2006/relationships" ref="K237" display="Voir" r:id="rId379"/>
    <hyperlink xmlns:r="http://schemas.openxmlformats.org/officeDocument/2006/relationships" ref="K238" display="Voir" r:id="rId380"/>
    <hyperlink xmlns:r="http://schemas.openxmlformats.org/officeDocument/2006/relationships" ref="K239" display="Voir" r:id="rId381"/>
    <hyperlink xmlns:r="http://schemas.openxmlformats.org/officeDocument/2006/relationships" ref="K240" display="Voir" r:id="rId382"/>
    <hyperlink xmlns:r="http://schemas.openxmlformats.org/officeDocument/2006/relationships" ref="K241" display="Voir" r:id="rId383"/>
    <hyperlink xmlns:r="http://schemas.openxmlformats.org/officeDocument/2006/relationships" ref="K242" display="Voir" r:id="rId384"/>
    <hyperlink xmlns:r="http://schemas.openxmlformats.org/officeDocument/2006/relationships" ref="K243" display="Voir" r:id="rId385"/>
    <hyperlink xmlns:r="http://schemas.openxmlformats.org/officeDocument/2006/relationships" ref="K244" display="Voir" r:id="rId386"/>
    <hyperlink xmlns:r="http://schemas.openxmlformats.org/officeDocument/2006/relationships" ref="K245" display="Voir" r:id="rId387"/>
    <hyperlink xmlns:r="http://schemas.openxmlformats.org/officeDocument/2006/relationships" ref="K246" display="Voir" r:id="rId388"/>
    <hyperlink xmlns:r="http://schemas.openxmlformats.org/officeDocument/2006/relationships" ref="K247" display="Voir" r:id="rId389"/>
    <hyperlink xmlns:r="http://schemas.openxmlformats.org/officeDocument/2006/relationships" ref="K248" display="Voir" r:id="rId390"/>
    <hyperlink xmlns:r="http://schemas.openxmlformats.org/officeDocument/2006/relationships" ref="K249" display="Voir" r:id="rId391"/>
    <hyperlink xmlns:r="http://schemas.openxmlformats.org/officeDocument/2006/relationships" ref="K250" display="Voir" r:id="rId39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4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2" min="1" max="1"/>
    <col width="22" customWidth="1" style="12" min="2" max="4"/>
    <col width="50" customWidth="1" style="12" min="5" max="5"/>
    <col width="22" customWidth="1" style="12" min="6" max="8"/>
  </cols>
  <sheetData>
    <row r="1" ht="15" customHeight="1" s="13">
      <c r="A1" s="19" t="inlineStr">
        <is>
          <t>Canal</t>
        </is>
      </c>
      <c r="B1" s="19" t="inlineStr">
        <is>
          <t>Type</t>
        </is>
      </c>
      <c r="C1" s="19" t="inlineStr">
        <is>
          <t>Qui on y touche</t>
        </is>
      </c>
      <c r="D1" s="19" t="inlineStr">
        <is>
          <t>Dates / zone</t>
        </is>
      </c>
      <c r="E1" s="19" t="inlineStr">
        <is>
          <t>Ce qu'il faut faire</t>
        </is>
      </c>
      <c r="F1" s="19" t="inlineStr">
        <is>
          <t>Coût</t>
        </is>
      </c>
      <c r="G1" s="19" t="inlineStr">
        <is>
          <t>Lien</t>
        </is>
      </c>
      <c r="H1" s="19" t="inlineStr">
        <is>
          <t>Fait le</t>
        </is>
      </c>
    </row>
    <row r="2" ht="68.25" customHeight="1" s="13">
      <c r="A2" s="15" t="inlineStr">
        <is>
          <t>Leboncoin — compte Pro</t>
        </is>
      </c>
      <c r="B2" s="15" t="inlineStr">
        <is>
          <t>Annonces</t>
        </is>
      </c>
      <c r="C2" s="15" t="inlineStr">
        <is>
          <t>Particuliers et petits artisans qui cherchent de la pierre près de chez eux</t>
        </is>
      </c>
      <c r="D2" s="15" t="inlineStr">
        <is>
          <t>Une annonce localisée à Gennevilliers ; Vernon seulement quand l'adresse, les horaires et le stock y sont</t>
        </is>
      </c>
      <c r="E2" s="15" t="inlineStr">
        <is>
          <t>Compte Pro obligatoire. Une seule annonce au départ : lot de 25 m² à 875 €, vraies photos sans texte, IDU de la filière REP, pas de lien ni de paiement en ligne Leboncoin pour l'instant. Texte, photos et liste de contrôle : leboncoin.md.</t>
        </is>
      </c>
      <c r="F2" s="15" t="inlineStr">
        <is>
          <t>Compte Pro gratuit ; 50 dépôts offerts au total en Maison &amp; Jardin ; 12 % de commission si paiement en ligne</t>
        </is>
      </c>
      <c r="G2" s="20" t="inlineStr">
        <is>
          <t>Ouvrir</t>
        </is>
      </c>
      <c r="H2" s="15" t="n"/>
    </row>
    <row r="3" ht="68.25" customHeight="1" s="13">
      <c r="A3" s="15" t="inlineStr">
        <is>
          <t>Fiche Google (Google Business Profile)</t>
        </is>
      </c>
      <c r="B3" s="15" t="inlineStr">
        <is>
          <t>Fiche</t>
        </is>
      </c>
      <c r="C3" s="15" t="inlineStr">
        <is>
          <t>Personnes qui cherchent « pierre naturelle » ou « dallage » près de Gennevilliers</t>
        </is>
      </c>
      <c r="D3" s="15" t="inlineStr">
        <is>
          <t>Recherche locale</t>
        </is>
      </c>
      <c r="E3" s="15" t="inlineStr">
        <is>
          <t>Créer une fiche par point de retrait (Gennevilliers, puis Vernon dès que l'adresse est connue) : catégorie fournisseur de pierre, retrait sur rendez-vous, photos réelles, lien vers la fiche MINYALA. Demander un avis à chaque client.</t>
        </is>
      </c>
      <c r="F3" s="15" t="inlineStr">
        <is>
          <t>Gratuit</t>
        </is>
      </c>
      <c r="G3" s="20" t="inlineStr">
        <is>
          <t>Ouvrir</t>
        </is>
      </c>
      <c r="H3" s="15" t="n"/>
    </row>
    <row r="4" ht="54.75" customHeight="1" s="13">
      <c r="A4" s="15" t="inlineStr">
        <is>
          <t>Houzz — profil pro « Pierres et plans de travail »</t>
        </is>
      </c>
      <c r="B4" s="15" t="inlineStr">
        <is>
          <t>Fiche</t>
        </is>
      </c>
      <c r="C4" s="15" t="inlineStr">
        <is>
          <t>Particuliers en projet et architectes qui cherchent un fournisseur</t>
        </is>
      </c>
      <c r="D4" s="15" t="inlineStr">
        <is>
          <t>Recherche par ville (rayon 10 à 100 km)</t>
        </is>
      </c>
      <c r="E4" s="15" t="inlineStr">
        <is>
          <t>Créer un profil pro situé à Gennevilliers (zone d'intervention incluant l'Eure / Vernon) avec photos de MINYALA posé, prix au m² et minimum de commande. Demander des avis clients.</t>
        </is>
      </c>
      <c r="F4" s="15" t="inlineStr">
        <is>
          <t>Inscription gratuite (options payantes à vérifier)</t>
        </is>
      </c>
      <c r="G4" s="20" t="inlineStr">
        <is>
          <t>Ouvrir</t>
        </is>
      </c>
      <c r="H4" s="15" t="n"/>
    </row>
    <row r="5" ht="41.25" customHeight="1" s="13">
      <c r="A5" s="15" t="inlineStr">
        <is>
          <t>PagesJaunes — fiche professionnelle</t>
        </is>
      </c>
      <c r="B5" s="15" t="inlineStr">
        <is>
          <t>Fiche</t>
        </is>
      </c>
      <c r="C5" s="15" t="inlineStr">
        <is>
          <t>Recherches par ville et par métier</t>
        </is>
      </c>
      <c r="D5" s="15" t="inlineStr">
        <is>
          <t>France</t>
        </is>
      </c>
      <c r="E5" s="15" t="inlineStr">
        <is>
          <t>Créer ou revendiquer la fiche Pierre d'Égypte, rubriques pierre naturelle et carrelage, avec photos et lien vers le site.</t>
        </is>
      </c>
      <c r="F5" s="15" t="inlineStr">
        <is>
          <t>Fiche gratuite (options payantes)</t>
        </is>
      </c>
      <c r="G5" s="20" t="inlineStr">
        <is>
          <t>Ouvrir</t>
        </is>
      </c>
      <c r="H5" s="15" t="n"/>
    </row>
    <row r="6" ht="54.75" customHeight="1" s="13">
      <c r="A6" s="15" t="inlineStr">
        <is>
          <t>Vivastreet — Bricolage, jardinage</t>
        </is>
      </c>
      <c r="B6" s="15" t="inlineStr">
        <is>
          <t>Annonces</t>
        </is>
      </c>
      <c r="C6" s="15" t="inlineStr">
        <is>
          <t>Particuliers</t>
        </is>
      </c>
      <c r="D6" s="15" t="inlineStr">
        <is>
          <t>Annonce localisée à Gennevilliers, et une 2e à Vernon (27) dès que l'adresse est connue</t>
        </is>
      </c>
      <c r="E6" s="15" t="inlineStr">
        <is>
          <t>Lire les règles de l'Espace Pro, puis publier une annonce pro identifiée avec photos et prix au m².</t>
        </is>
      </c>
      <c r="F6" s="15" t="inlineStr">
        <is>
          <t>Certaines catégories payantes (à vérifier)</t>
        </is>
      </c>
      <c r="G6" s="20" t="inlineStr">
        <is>
          <t>Ouvrir</t>
        </is>
      </c>
      <c r="H6" s="15" t="n"/>
    </row>
    <row r="7" ht="54.75" customHeight="1" s="13">
      <c r="A7" s="15" t="inlineStr">
        <is>
          <t>Facebook — Page entreprise (pas Marketplace)</t>
        </is>
      </c>
      <c r="B7" s="15" t="inlineStr">
        <is>
          <t>Réseau social</t>
        </is>
      </c>
      <c r="C7" s="15" t="inlineStr">
        <is>
          <t>Particuliers d'Île-de-France et de Normandie</t>
        </is>
      </c>
      <c r="D7" s="15" t="inlineStr">
        <is>
          <t>Local</t>
        </is>
      </c>
      <c r="E7" s="15" t="inlineStr">
        <is>
          <t>Marketplace est réservé aux ventes entre particuliers et Meta peut bloquer les vendeurs pros. Créer une Page Pierre d'Égypte et utiliser les publicités Meta à la place. Ne jamais publier en se faisant passer pour un particulier.</t>
        </is>
      </c>
      <c r="F7" s="15" t="inlineStr">
        <is>
          <t>Page gratuite</t>
        </is>
      </c>
      <c r="G7" s="20" t="inlineStr">
        <is>
          <t>Ouvrir</t>
        </is>
      </c>
      <c r="H7" s="15" t="n"/>
    </row>
    <row r="8" ht="95.25" customHeight="1" s="13">
      <c r="A8" s="15" t="inlineStr">
        <is>
          <t>Groupes Facebook locaux (à chercher vous-même)</t>
        </is>
      </c>
      <c r="B8" s="15" t="inlineStr">
        <is>
          <t>Réseau social</t>
        </is>
      </c>
      <c r="C8" s="15" t="inlineStr">
        <is>
          <t>Propriétaires qui préparent des travaux</t>
        </is>
      </c>
      <c r="D8" s="15" t="inlineStr">
        <is>
          <t>92, 95, 78, 93, Normandie</t>
        </is>
      </c>
      <c r="E8" s="15" t="inlineStr">
        <is>
          <t>Voir l'onglet Groupes Facebook (22 groupes repérés). Pour d'autres groupes locaux, dans Facebook, cherchez « travaux maison 92 », « piscine Île-de-France », « jardin Normandie », « bons plans matériaux », « déstockage matériaux ». Lisez le règlement : ne publiez que là où les pros sont autorisés, idéalement avec l'accord des administrateurs.</t>
        </is>
      </c>
      <c r="F8" s="15" t="inlineStr">
        <is>
          <t>Gratuit</t>
        </is>
      </c>
      <c r="G8" s="15" t="n"/>
      <c r="H8" s="15" t="n"/>
    </row>
    <row r="9" ht="68.25" customHeight="1" s="13">
      <c r="A9" s="15" t="inlineStr">
        <is>
          <t>ForumConstruire — Terrasse « en dur »</t>
        </is>
      </c>
      <c r="B9" s="15" t="inlineStr">
        <is>
          <t>Forum</t>
        </is>
      </c>
      <c r="C9" s="15" t="inlineStr">
        <is>
          <t>Forum de construction très fréquenté par des propriétaires de maison.</t>
        </is>
      </c>
      <c r="D9" s="15" t="inlineStr">
        <is>
          <t>France entière</t>
        </is>
      </c>
      <c r="E9" s="15" t="inlineStr">
        <is>
          <t>Créer un compte clairement identifié comme professionnel et répondre aux questions sur la pierre calcaire (pose, joints, entretien), sans publicité. Avec l'accord d'un client, publier un récit de chantier avec photos.</t>
        </is>
      </c>
      <c r="F9" s="15" t="inlineStr">
        <is>
          <t>Gratuit</t>
        </is>
      </c>
      <c r="G9" s="20" t="inlineStr">
        <is>
          <t>Ouvrir</t>
        </is>
      </c>
      <c r="H9" s="15" t="n"/>
    </row>
    <row r="10" ht="54.75" customHeight="1" s="13">
      <c r="A10" s="15" t="inlineStr">
        <is>
          <t>ForumConstruire — Allées et chemins</t>
        </is>
      </c>
      <c r="B10" s="15" t="inlineStr">
        <is>
          <t>Forum</t>
        </is>
      </c>
      <c r="C10" s="15" t="inlineStr">
        <is>
          <t>Forum de construction très fréquenté par des propriétaires de maison.</t>
        </is>
      </c>
      <c r="D10" s="15" t="inlineStr">
        <is>
          <t>France entière</t>
        </is>
      </c>
      <c r="E10" s="15" t="inlineStr">
        <is>
          <t>Répondre aux questions sur les allées en pierre (pose sur lit de mortier ou sur dalle, joints). Le format 30×60 convient aux chemins de jardin. Pas de lien commercial dans les messages.</t>
        </is>
      </c>
      <c r="F10" s="15" t="inlineStr">
        <is>
          <t>Gratuit</t>
        </is>
      </c>
      <c r="G10" s="20" t="inlineStr">
        <is>
          <t>Ouvrir</t>
        </is>
      </c>
      <c r="H10" s="15" t="n"/>
    </row>
    <row r="11" ht="41.25" customHeight="1" s="13">
      <c r="A11" s="15" t="inlineStr">
        <is>
          <t>ForumConstruire — Carrelage</t>
        </is>
      </c>
      <c r="B11" s="15" t="inlineStr">
        <is>
          <t>Forum</t>
        </is>
      </c>
      <c r="C11" s="15" t="inlineStr">
        <is>
          <t>Forum de construction très fréquenté par des propriétaires de maison.</t>
        </is>
      </c>
      <c r="D11" s="15" t="inlineStr">
        <is>
          <t>France entière</t>
        </is>
      </c>
      <c r="E11" s="15" t="inlineStr">
        <is>
          <t>Intervenir sur les sujets pierre naturelle et travertin pour les sols intérieurs, en conseil technique.</t>
        </is>
      </c>
      <c r="F11" s="15" t="inlineStr">
        <is>
          <t>Gratuit</t>
        </is>
      </c>
      <c r="G11" s="20" t="inlineStr">
        <is>
          <t>Ouvrir</t>
        </is>
      </c>
      <c r="H11" s="15" t="n"/>
    </row>
    <row r="12" ht="41.25" customHeight="1" s="13">
      <c r="A12" s="15" t="inlineStr">
        <is>
          <t>ForumConstruire — Rénovation et extension</t>
        </is>
      </c>
      <c r="B12" s="15" t="inlineStr">
        <is>
          <t>Forum</t>
        </is>
      </c>
      <c r="C12" s="15" t="inlineStr">
        <is>
          <t>Forum de construction très fréquenté par des propriétaires de maison.</t>
        </is>
      </c>
      <c r="D12" s="15" t="inlineStr">
        <is>
          <t>France entière</t>
        </is>
      </c>
      <c r="E12" s="15" t="inlineStr">
        <is>
          <t>Répondre aux questions de remplacement de sols ou de terrasse. Laisser les membres demander vos coordonnées.</t>
        </is>
      </c>
      <c r="F12" s="15" t="inlineStr">
        <is>
          <t>Gratuit</t>
        </is>
      </c>
      <c r="G12" s="20" t="inlineStr">
        <is>
          <t>Ouvrir</t>
        </is>
      </c>
      <c r="H12" s="15" t="n"/>
    </row>
    <row r="13" ht="41.25" customHeight="1" s="13">
      <c r="A13" s="15" t="inlineStr">
        <is>
          <t>ForumPiscine — Terrasse (autour de la piscine)</t>
        </is>
      </c>
      <c r="B13" s="15" t="inlineStr">
        <is>
          <t>Forum</t>
        </is>
      </c>
      <c r="C13" s="15" t="inlineStr">
        <is>
          <t>Propriétaires de piscine qui choisissent leur plage</t>
        </is>
      </c>
      <c r="D13" s="15" t="inlineStr">
        <is>
          <t>France entière</t>
        </is>
      </c>
      <c r="E13" s="15" t="inlineStr">
        <is>
          <t>Répondre sur le choix, la pose et l'entretien d'une plage en pierre. La charte pro interdit toute publicité, signature commerciale ou lien vers le site.</t>
        </is>
      </c>
      <c r="F13" s="15" t="inlineStr">
        <is>
          <t>Gratuit</t>
        </is>
      </c>
      <c r="G13" s="20" t="inlineStr">
        <is>
          <t>Ouvrir</t>
        </is>
      </c>
      <c r="H13" s="15" t="n"/>
    </row>
    <row r="14" ht="41.25" customHeight="1" s="13">
      <c r="A14" s="15" t="inlineStr">
        <is>
          <t>ForumPiscine — Piscine maçonnée</t>
        </is>
      </c>
      <c r="B14" s="15" t="inlineStr">
        <is>
          <t>Forum</t>
        </is>
      </c>
      <c r="C14" s="15" t="inlineStr">
        <is>
          <t>Propriétaires en cours de construction, avant le choix de la plage</t>
        </is>
      </c>
      <c r="D14" s="15" t="inlineStr">
        <is>
          <t>France entière</t>
        </is>
      </c>
      <c r="E14" s="15" t="inlineStr">
        <is>
          <t>Repérer les projets au stade du chantier et apporter des réponses techniques sur la pierre autour du bassin, sans promotion.</t>
        </is>
      </c>
      <c r="F14" s="15" t="inlineStr">
        <is>
          <t>Gratuit</t>
        </is>
      </c>
      <c r="G14" s="20" t="inlineStr">
        <is>
          <t>Ouvrir</t>
        </is>
      </c>
      <c r="H14" s="15" t="n"/>
    </row>
    <row r="15" ht="27.75" customHeight="1" s="13">
      <c r="A15" s="15" t="inlineStr">
        <is>
          <t>Houzz — Discussions (paysage, jardin, piscine, rénovation)</t>
        </is>
      </c>
      <c r="B15" s="15" t="inlineStr">
        <is>
          <t>Forum</t>
        </is>
      </c>
      <c r="C15" s="15" t="inlineStr">
        <is>
          <t>Particuliers en projet</t>
        </is>
      </c>
      <c r="D15" s="15" t="inlineStr">
        <is>
          <t>France entière</t>
        </is>
      </c>
      <c r="E15" s="15" t="inlineStr">
        <is>
          <t>Répondre avec le profil pro Houzz et des photos de réalisations. Les réponses renvoient vers votre profil.</t>
        </is>
      </c>
      <c r="F15" s="15" t="inlineStr">
        <is>
          <t>Gratuit</t>
        </is>
      </c>
      <c r="G15" s="20" t="inlineStr">
        <is>
          <t>Ouvrir</t>
        </is>
      </c>
      <c r="H15" s="15" t="n"/>
    </row>
    <row r="16" ht="41.25" customHeight="1" s="13">
      <c r="A16" s="15" t="inlineStr">
        <is>
          <t>ForumConstruire — avis sur les boutiques</t>
        </is>
      </c>
      <c r="B16" s="15" t="inlineStr">
        <is>
          <t>Avis</t>
        </is>
      </c>
      <c r="C16" s="15" t="inlineStr">
        <is>
          <t>Futurs acheteurs qui vérifient un vendeur</t>
        </is>
      </c>
      <c r="D16" s="15" t="inlineStr">
        <is>
          <t>France entière</t>
        </is>
      </c>
      <c r="E16" s="15" t="inlineStr">
        <is>
          <t>Inviter chaque client, sans tri, à laisser un avis après le retrait ou la livraison. Ne jamais rédiger de faux avis ni offrir de contrepartie (sanctionné).</t>
        </is>
      </c>
      <c r="F16" s="15" t="inlineStr">
        <is>
          <t>Gratuit</t>
        </is>
      </c>
      <c r="G16" s="20" t="inlineStr">
        <is>
          <t>Ouvrir</t>
        </is>
      </c>
      <c r="H16" s="15" t="n"/>
    </row>
    <row r="17" ht="54.75" customHeight="1" s="13">
      <c r="A17" s="15" t="inlineStr">
        <is>
          <t>Foire de Rouen 2027</t>
        </is>
      </c>
      <c r="B17" s="15" t="inlineStr">
        <is>
          <t>Foire</t>
        </is>
      </c>
      <c r="C17" s="15" t="inlineStr">
        <is>
          <t>Grand public normand en projet maison et jardin</t>
        </is>
      </c>
      <c r="D17" s="15" t="inlineStr">
        <is>
          <t>27 mars – 4 avril 2027, Parc des Expositions de Rouen (Le Grand-Quevilly)</t>
        </is>
      </c>
      <c r="E17" s="15" t="inlineStr">
        <is>
          <t>Demander le dossier exposant (univers Maison &amp; Jardin). Bon moment pour lancer la saison terrasse en Normandie.</t>
        </is>
      </c>
      <c r="F17" s="15" t="inlineStr">
        <is>
          <t>À vérifier</t>
        </is>
      </c>
      <c r="G17" s="20" t="inlineStr">
        <is>
          <t>Ouvrir</t>
        </is>
      </c>
      <c r="H17" s="15" t="n"/>
    </row>
    <row r="18" ht="54.75" customHeight="1" s="13">
      <c r="A18" s="15" t="inlineStr">
        <is>
          <t>Foire de Paris 2027</t>
        </is>
      </c>
      <c r="B18" s="15" t="inlineStr">
        <is>
          <t>Foire</t>
        </is>
      </c>
      <c r="C18" s="15" t="inlineStr">
        <is>
          <t>Grand public francilien en projet maison</t>
        </is>
      </c>
      <c r="D18" s="15" t="inlineStr">
        <is>
          <t>30 avril – 10 mai 2027, Paris (lieu à confirmer, habituellement Porte de Versailles)</t>
        </is>
      </c>
      <c r="E18" s="15" t="inlineStr">
        <is>
          <t>Visiter pour repérer exposants terrasse et piscine et poseurs partenaires, et chiffrer un stand pour 2028. Sur un stand, ne collecter des contacts qu'avec consentement explicite.</t>
        </is>
      </c>
      <c r="F18" s="15" t="inlineStr">
        <is>
          <t>À vérifier</t>
        </is>
      </c>
      <c r="G18" s="20" t="inlineStr">
        <is>
          <t>Ouvrir</t>
        </is>
      </c>
      <c r="H18" s="15" t="n"/>
    </row>
    <row r="19" ht="54.75" customHeight="1" s="13">
      <c r="A19" s="15" t="inlineStr">
        <is>
          <t>Foire internationale de Caen</t>
        </is>
      </c>
      <c r="B19" s="15" t="inlineStr">
        <is>
          <t>Foire</t>
        </is>
      </c>
      <c r="C19" s="15" t="inlineStr">
        <is>
          <t>Grand public du Calvados et de la Côte Fleurie</t>
        </is>
      </c>
      <c r="D19" s="15" t="inlineStr">
        <is>
          <t>Dates 2027 non publiées (2026 : 18–27 septembre, Parc des Expositions de Caen)</t>
        </is>
      </c>
      <c r="E19" s="15" t="inlineStr">
        <is>
          <t>Surveiller les dates 2027 et demander un dossier exposant secteur Habitat &amp; Jardin.</t>
        </is>
      </c>
      <c r="F19" s="15" t="inlineStr">
        <is>
          <t>À vérifier</t>
        </is>
      </c>
      <c r="G19" s="20" t="inlineStr">
        <is>
          <t>Ouvrir</t>
        </is>
      </c>
      <c r="H19" s="15" t="n"/>
    </row>
    <row r="20" ht="41.25" customHeight="1" s="13">
      <c r="A20" s="15" t="inlineStr">
        <is>
          <t>Salon de la copropriété et de l'habitat</t>
        </is>
      </c>
      <c r="B20" s="15" t="inlineStr">
        <is>
          <t>Salon</t>
        </is>
      </c>
      <c r="C20" s="15" t="inlineStr">
        <is>
          <t>Syndics, conseils syndicaux et copropriétaires</t>
        </is>
      </c>
      <c r="D20" s="15" t="inlineStr">
        <is>
          <t>4–5 novembre 2026, Paris</t>
        </is>
      </c>
      <c r="E20" s="15" t="inlineStr">
        <is>
          <t>Y aller en visiteur pour présenter MINYALA pour des halls et des cours de copropriété.</t>
        </is>
      </c>
      <c r="F20" s="15" t="inlineStr">
        <is>
          <t>À vérifier</t>
        </is>
      </c>
      <c r="G20" s="20" t="inlineStr">
        <is>
          <t>Ouvrir</t>
        </is>
      </c>
      <c r="H20" s="15" t="n"/>
    </row>
    <row r="21" ht="54.75" customHeight="1" s="13">
      <c r="A21" s="15" t="inlineStr">
        <is>
          <t>Google Ads — Recherche</t>
        </is>
      </c>
      <c r="B21" s="15" t="inlineStr">
        <is>
          <t>Publicité</t>
        </is>
      </c>
      <c r="C21" s="15" t="inlineStr">
        <is>
          <t>Personnes qui cherchent activement de la pierre</t>
        </is>
      </c>
      <c r="D21" s="15" t="inlineStr">
        <is>
          <t>Rayons autour de Gennevilliers (92) et de Vernon (27) ; Rouen, Le Havre, Caen</t>
        </is>
      </c>
      <c r="E21" s="15" t="inlineStr">
        <is>
          <t>Mots-clés du kit de vente, section 5 (« pierre naturelle terrasse », « dalle calcaire 30x60 », « pierre calcaire extérieur »…), option « présence » pour la zone de retrait. Exclure « gratuit » et « tuto ».</t>
        </is>
      </c>
      <c r="F21" s="15" t="inlineStr">
        <is>
          <t>Budget libre (au clic)</t>
        </is>
      </c>
      <c r="G21" s="20" t="inlineStr">
        <is>
          <t>Ouvrir</t>
        </is>
      </c>
      <c r="H21" s="15" t="n"/>
    </row>
    <row r="22" ht="54.75" customHeight="1" s="13">
      <c r="A22" s="15" t="inlineStr">
        <is>
          <t>Meta (Facebook, Instagram) — publicités</t>
        </is>
      </c>
      <c r="B22" s="15" t="inlineStr">
        <is>
          <t>Publicité</t>
        </is>
      </c>
      <c r="C22" s="15" t="inlineStr">
        <is>
          <t>Propriétaires de maisons avec jardin ou piscine</t>
        </is>
      </c>
      <c r="D22" s="15" t="inlineStr">
        <is>
          <t>~30 km autour de Gennevilliers ; campagne séparée Normandie</t>
        </is>
      </c>
      <c r="E22" s="15" t="inlineStr">
        <is>
          <t>Cibler les centres d'intérêt (piscine, jardin, rénovation) et les communes pavillonnaires (Rueil, Chatou, Le Vésinet, Saint-Germain-en-Laye, Maisons-Laffitte, Montmorency…). Photos réelles du lot.</t>
        </is>
      </c>
      <c r="F22" s="15" t="inlineStr">
        <is>
          <t>Budget libre</t>
        </is>
      </c>
      <c r="G22" s="20" t="inlineStr">
        <is>
          <t>Ouvrir</t>
        </is>
      </c>
      <c r="H22" s="15" t="n"/>
    </row>
    <row r="23" ht="27.75" customHeight="1" s="13">
      <c r="A23" s="15" t="inlineStr">
        <is>
          <t>Leboncoin Publicité — Local+</t>
        </is>
      </c>
      <c r="B23" s="15" t="inlineStr">
        <is>
          <t>Publicité</t>
        </is>
      </c>
      <c r="C23" s="15" t="inlineStr">
        <is>
          <t>Visiteurs des rubriques maison, jardin, bricolage</t>
        </is>
      </c>
      <c r="D23" s="15" t="inlineStr">
        <is>
          <t>92, 95, 93, 78 (Normandie en option)</t>
        </is>
      </c>
      <c r="E23" s="15" t="inlineStr">
        <is>
          <t>Contacter l'équipe commerciale pour une campagne de février à juin.</t>
        </is>
      </c>
      <c r="F23" s="15" t="inlineStr">
        <is>
          <t>À vérifier</t>
        </is>
      </c>
      <c r="G23" s="20" t="inlineStr">
        <is>
          <t>Ouvrir</t>
        </is>
      </c>
      <c r="H23" s="15" t="n"/>
    </row>
    <row r="24" ht="41.25" customHeight="1" s="13">
      <c r="A24" s="15" t="inlineStr">
        <is>
          <t>Pinterest Business</t>
        </is>
      </c>
      <c r="B24" s="15" t="inlineStr">
        <is>
          <t>Publicité</t>
        </is>
      </c>
      <c r="C24" s="15" t="inlineStr">
        <is>
          <t>Personnes qui cherchent des idées de terrasse et de sol</t>
        </is>
      </c>
      <c r="D24" s="15" t="inlineStr">
        <is>
          <t>France</t>
        </is>
      </c>
      <c r="E24" s="15" t="inlineStr">
        <is>
          <t>Publier des épingles de réalisations en MINYALA qui renvoient vers la fiche produit. Booster les meilleures de février à avril.</t>
        </is>
      </c>
      <c r="F24" s="15" t="inlineStr">
        <is>
          <t>Compte gratuit ; budget libre</t>
        </is>
      </c>
      <c r="G24" s="20" t="inlineStr">
        <is>
          <t>Ouvrir</t>
        </is>
      </c>
      <c r="H24" s="15" t="n"/>
    </row>
    <row r="25" ht="41.25" customHeight="1" s="13">
      <c r="A25" s="15" t="inlineStr">
        <is>
          <t>ForumConstruire — publicité</t>
        </is>
      </c>
      <c r="B25" s="15" t="inlineStr">
        <is>
          <t>Publicité</t>
        </is>
      </c>
      <c r="C25" s="15" t="inlineStr">
        <is>
          <t>Membres du forum, ciblage par département</t>
        </is>
      </c>
      <c r="D25" s="15" t="inlineStr">
        <is>
          <t>92, 95, 93, 78, 75, 76, 14, 27</t>
        </is>
      </c>
      <c r="E25" s="15" t="inlineStr">
        <is>
          <t>Demander un devis pour des bannières ciblées ou un partenariat éditorial (article sur la pose de pierre en terrasse).</t>
        </is>
      </c>
      <c r="F25" s="15" t="inlineStr">
        <is>
          <t>Au CPM (à vérifier)</t>
        </is>
      </c>
      <c r="G25" s="20" t="inlineStr">
        <is>
          <t>Ouvrir</t>
        </is>
      </c>
      <c r="H25" s="15" t="n"/>
    </row>
    <row r="26" ht="54.75" customHeight="1" s="13">
      <c r="A26" s="15" t="inlineStr">
        <is>
          <t>Habitatpresto (via des poseurs partenaires)</t>
        </is>
      </c>
      <c r="B26" s="15" t="inlineStr">
        <is>
          <t>Plateforme projets</t>
        </is>
      </c>
      <c r="C26" s="15" t="inlineStr">
        <is>
          <t>Particuliers qui demandent des devis de travaux</t>
        </is>
      </c>
      <c r="D26" s="15" t="inlineStr">
        <is>
          <t>Zone choisie par le pro</t>
        </is>
      </c>
      <c r="E26" s="15" t="inlineStr">
        <is>
          <t>Pierre d'Égypte propose livraison et pose sur devis à partir de 100 m² ; en dessous, s'associer à des carreleurs ou paysagistes inscrits qui proposent MINYALA dans leurs devis de dallage.</t>
        </is>
      </c>
      <c r="F26" s="15" t="inlineStr">
        <is>
          <t>À vérifier</t>
        </is>
      </c>
      <c r="G26" s="20" t="inlineStr">
        <is>
          <t>Ouvrir</t>
        </is>
      </c>
      <c r="H26" s="15" t="n"/>
    </row>
    <row r="27" ht="68.25" customHeight="1" s="13">
      <c r="A27" s="15" t="inlineStr">
        <is>
          <t>Salon Maison &amp; Jardin du Havre 2027</t>
        </is>
      </c>
      <c r="B27" s="15" t="inlineStr">
        <is>
          <t>Salon</t>
        </is>
      </c>
      <c r="C27" s="15" t="inlineStr">
        <is>
          <t>Particuliers du Havre et de la Pointe de Caux en projet maison ou jardin (~12 000 visiteurs attendus)</t>
        </is>
      </c>
      <c r="D27" s="15" t="inlineStr">
        <is>
          <t>26–28 février 2027, Carré des Docks, Le Havre</t>
        </is>
      </c>
      <c r="E27" s="15" t="inlineStr">
        <is>
          <t>Réserver un stand auprès de LÉO : petite terrasse ou plage de piscine en MINYALA, prix au m² affiché, demandes de devis avec consentement écrit.</t>
        </is>
      </c>
      <c r="F27" s="15" t="inlineStr">
        <is>
          <t>Entrée 5 € ; stand sur demande</t>
        </is>
      </c>
      <c r="G27" s="20" t="inlineStr">
        <is>
          <t>Ouvrir</t>
        </is>
      </c>
      <c r="H27" s="15" t="n"/>
    </row>
    <row r="28" ht="54.75" customHeight="1" s="13">
      <c r="A28" s="15" t="inlineStr">
        <is>
          <t>Salon Maison de Lisieux 2027</t>
        </is>
      </c>
      <c r="B28" s="15" t="inlineStr">
        <is>
          <t>Salon</t>
        </is>
      </c>
      <c r="C28" s="15" t="inlineStr">
        <is>
          <t>Propriétaires du Pays d'Auge, dont résidences secondaires (~6 000 visiteurs)</t>
        </is>
      </c>
      <c r="D28" s="15" t="inlineStr">
        <is>
          <t>12–14 février 2027, Parc des Expositions de Lisieux</t>
        </is>
      </c>
      <c r="E28" s="15" t="inlineStr">
        <is>
          <t>Stand pour toucher le Calvados est : terrasses, allées, sols de longères rénovées, salles de bains.</t>
        </is>
      </c>
      <c r="F28" s="15" t="inlineStr">
        <is>
          <t>Entrée 4 € ; stand sur demande</t>
        </is>
      </c>
      <c r="G28" s="20" t="inlineStr">
        <is>
          <t>Ouvrir</t>
        </is>
      </c>
      <c r="H28" s="15" t="n"/>
    </row>
    <row r="29" ht="54.75" customHeight="1" s="13">
      <c r="A29" s="15" t="inlineStr">
        <is>
          <t>Salon Habitat de Dreux</t>
        </is>
      </c>
      <c r="B29" s="15" t="inlineStr">
        <is>
          <t>Salon</t>
        </is>
      </c>
      <c r="C29" s="15" t="inlineStr">
        <is>
          <t>Particuliers d'Eure-et-Loir, du sud de l'Eure et de l'ouest des Yvelines (~5 000 visiteurs)</t>
        </is>
      </c>
      <c r="D29" s="15" t="inlineStr">
        <is>
          <t>13–15 novembre 2026, Parc des Expositions de Dreux</t>
        </is>
      </c>
      <c r="E29" s="15" t="inlineStr">
        <is>
          <t>Juste hors zone (Évreux à ~45 km). Demander un stand de dernière minute, sinon viser 2027.</t>
        </is>
      </c>
      <c r="F29" s="15" t="inlineStr">
        <is>
          <t>Entrée 4 € ; stand sur demande</t>
        </is>
      </c>
      <c r="G29" s="20" t="inlineStr">
        <is>
          <t>Ouvrir</t>
        </is>
      </c>
      <c r="H29" s="15" t="n"/>
    </row>
    <row r="30" ht="41.25" customHeight="1" s="13">
      <c r="A30" s="15" t="inlineStr">
        <is>
          <t>Salon Vivre Autrement 2027</t>
        </is>
      </c>
      <c r="B30" s="15" t="inlineStr">
        <is>
          <t>Salon</t>
        </is>
      </c>
      <c r="C30" s="15" t="inlineStr">
        <is>
          <t>Franciliens attentifs aux matériaux naturels et à l'écohabitat</t>
        </is>
      </c>
      <c r="D30" s="15" t="inlineStr">
        <is>
          <t>26–29 mars 2027, Parc Floral de Paris</t>
        </is>
      </c>
      <c r="E30" s="15" t="inlineStr">
        <is>
          <t>Demander le dossier exposant et vérifier que le secteur habitat / matériaux est accepté. Présenter MINYALA comme pierre naturelle.</t>
        </is>
      </c>
      <c r="F30" s="15" t="inlineStr">
        <is>
          <t>Dossier d'admission</t>
        </is>
      </c>
      <c r="G30" s="20" t="inlineStr">
        <is>
          <t>Ouvrir</t>
        </is>
      </c>
      <c r="H30" s="15" t="n"/>
    </row>
    <row r="31" ht="54.75" customHeight="1" s="13">
      <c r="A31" s="15" t="inlineStr">
        <is>
          <t>Fête des Plantes de Saint-Jean de Beauregard</t>
        </is>
      </c>
      <c r="B31" s="15" t="inlineStr">
        <is>
          <t>Salon</t>
        </is>
      </c>
      <c r="C31" s="15" t="inlineStr">
        <is>
          <t>Jardiniers et propriétaires de maisons avec jardin (91, 78, 92), 200+ exposants</t>
        </is>
      </c>
      <c r="D31" s="15" t="inlineStr">
        <is>
          <t>Printemps et automne ; dates 2027 à confirmer (2026 : 10–12 avril et 25–27 septembre)</t>
        </is>
      </c>
      <c r="E31" s="15" t="inlineStr">
        <is>
          <t>Candidater dans la catégorie aménagement du jardin avec une petite allée en MINYALA. Vérifier les dates avant de s'engager.</t>
        </is>
      </c>
      <c r="F31" s="15" t="inlineStr">
        <is>
          <t>Stand sur demande</t>
        </is>
      </c>
      <c r="G31" s="20" t="inlineStr">
        <is>
          <t>Ouvrir</t>
        </is>
      </c>
      <c r="H31" s="15" t="n"/>
    </row>
    <row r="32" ht="54.75" customHeight="1" s="13">
      <c r="A32" s="15" t="inlineStr">
        <is>
          <t>Annuaire des entreprises de Gennevilliers</t>
        </is>
      </c>
      <c r="B32" s="15" t="inlineStr">
        <is>
          <t>Fiche</t>
        </is>
      </c>
      <c r="C32" s="15" t="inlineStr">
        <is>
          <t>Habitants et entreprises de la Boucle Nord des Hauts-de-Seine</t>
        </is>
      </c>
      <c r="D32" s="15" t="inlineStr">
        <is>
          <t>Gennevilliers</t>
        </is>
      </c>
      <c r="E32" s="15" t="inlineStr">
        <is>
          <t>Demander au service Économie et commerces l'inscription du point de retrait (rubrique Matériel de construction), et si Gennevilliers Magazine accepte la publicité.</t>
        </is>
      </c>
      <c r="F32" s="15" t="inlineStr">
        <is>
          <t>Probablement gratuit (à confirmer)</t>
        </is>
      </c>
      <c r="G32" s="20" t="inlineStr">
        <is>
          <t>Ouvrir</t>
        </is>
      </c>
      <c r="H32" s="15" t="n"/>
    </row>
    <row r="33" ht="54.75" customHeight="1" s="13">
      <c r="A33" s="15" t="inlineStr">
        <is>
          <t>Apple Business (fiche sur Plans)</t>
        </is>
      </c>
      <c r="B33" s="15" t="inlineStr">
        <is>
          <t>Fiche</t>
        </is>
      </c>
      <c r="C33" s="15" t="inlineStr">
        <is>
          <t>Utilisateurs d'iPhone qui cherchent un fournisseur près de Gennevilliers</t>
        </is>
      </c>
      <c r="D33" s="15" t="inlineStr">
        <is>
          <t>Point de retrait de Gennevilliers, puis Vernon (27) dès que l'adresse est connue</t>
        </is>
      </c>
      <c r="E33" s="15" t="inlineStr">
        <is>
          <t>Créer la fiche avec photos, « sur rendez-vous » et lien vers la boutique, comme la fiche Google.</t>
        </is>
      </c>
      <c r="F33" s="15" t="inlineStr">
        <is>
          <t>À vérifier</t>
        </is>
      </c>
      <c r="G33" s="20" t="inlineStr">
        <is>
          <t>Ouvrir</t>
        </is>
      </c>
      <c r="H33" s="15" t="n"/>
    </row>
    <row r="34" ht="41.25" customHeight="1" s="13">
      <c r="A34" s="15" t="inlineStr">
        <is>
          <t>Guide-Piscine.fr — fiche entreprise</t>
        </is>
      </c>
      <c r="B34" s="15" t="inlineStr">
        <is>
          <t>Fiche</t>
        </is>
      </c>
      <c r="C34" s="15" t="inlineStr">
        <is>
          <t>Propriétaires et futurs propriétaires de piscine</t>
        </is>
      </c>
      <c r="D34" s="15" t="inlineStr">
        <is>
          <t>France, ciblage par zone possible</t>
        </is>
      </c>
      <c r="E34" s="15" t="inlineStr">
        <is>
          <t>Créer la fiche gratuite (MINYALA pour plages et abords, « selon finition et pose »). Demander les offres de visibilité Île-de-France et Normandie.</t>
        </is>
      </c>
      <c r="F34" s="15" t="inlineStr">
        <is>
          <t>Fiche gratuite ; publicité sur devis</t>
        </is>
      </c>
      <c r="G34" s="20" t="inlineStr">
        <is>
          <t>Ouvrir</t>
        </is>
      </c>
      <c r="H34" s="15" t="n"/>
    </row>
    <row r="35" ht="68.25" customHeight="1" s="13">
      <c r="A35" s="15" t="inlineStr">
        <is>
          <t>AlloVoisins Pro</t>
        </is>
      </c>
      <c r="B35" s="15" t="inlineStr">
        <is>
          <t>Plateforme projets</t>
        </is>
      </c>
      <c r="C35" s="15" t="inlineStr">
        <is>
          <t>Particuliers qui publient des demandes de travaux près de chez eux</t>
        </is>
      </c>
      <c r="D35" s="15" t="inlineStr">
        <is>
          <t>France, filtrage local</t>
        </is>
      </c>
      <c r="E35" s="15" t="inlineStr">
        <is>
          <t>Ne pas payer Premier ni Booster : un compte pro gratuit ne peut répondre à rien, Premier engage 12 mois et les demandes locales portent sur la pose. Au plus : l'essai gratuit de 14 jours, sur Gennevilliers, résilié au 12e jour. Voir allovoisins.md.</t>
        </is>
      </c>
      <c r="F35" s="15" t="inlineStr">
        <is>
          <t>Premier dès 29,99 €/mois (auto-entrepreneur) ou 99,99 € HT/mois (entreprise), engagement 12 mois</t>
        </is>
      </c>
      <c r="G35" s="20" t="inlineStr">
        <is>
          <t>Ouvrir</t>
        </is>
      </c>
      <c r="H35" s="15" t="n"/>
    </row>
    <row r="36" ht="41.25" customHeight="1" s="13">
      <c r="A36" s="15" t="inlineStr">
        <is>
          <t>Annonces Tendance Ouest — espace pro</t>
        </is>
      </c>
      <c r="B36" s="15" t="inlineStr">
        <is>
          <t>Annonces</t>
        </is>
      </c>
      <c r="C36" s="15" t="inlineStr">
        <is>
          <t>Particuliers normands (rubriques Bricolage et Jardinage)</t>
        </is>
      </c>
      <c r="D36" s="15" t="inlineStr">
        <is>
          <t>Normandie</t>
        </is>
      </c>
      <c r="E36" s="15" t="inlineStr">
        <is>
          <t>Ouvrir un compte pro et demander les conditions pour un vendeur de matériaux, puis publier « Dalles calcaire naturel 30×60, 35 €/m² pierre seule ».</t>
        </is>
      </c>
      <c r="F36" s="15" t="inlineStr">
        <is>
          <t>À vérifier</t>
        </is>
      </c>
      <c r="G36" s="20" t="inlineStr">
        <is>
          <t>Ouvrir</t>
        </is>
      </c>
      <c r="H36" s="15" t="n"/>
    </row>
    <row r="37" ht="41.25" customHeight="1" s="13">
      <c r="A37" s="15" t="inlineStr">
        <is>
          <t>Régie Ouest (radio Tendance Ouest, Le Courrier Cauchois, La Manche Libre)</t>
        </is>
      </c>
      <c r="B37" s="15" t="inlineStr">
        <is>
          <t>Publicité</t>
        </is>
      </c>
      <c r="C37" s="15" t="inlineStr">
        <is>
          <t>Lecteurs et auditeurs de toute la Normandie</t>
        </is>
      </c>
      <c r="D37" s="15" t="inlineStr">
        <is>
          <t>Normandie</t>
        </is>
      </c>
      <c r="E37" s="15" t="inlineStr">
        <is>
          <t>Demander un devis pour une campagne de printemps (mars–mai) sur le thème terrasse, jardin et piscine.</t>
        </is>
      </c>
      <c r="F37" s="15" t="inlineStr">
        <is>
          <t>Sur devis</t>
        </is>
      </c>
      <c r="G37" s="20" t="inlineStr">
        <is>
          <t>Ouvrir</t>
        </is>
      </c>
      <c r="H37" s="15" t="n"/>
    </row>
    <row r="38" ht="68.25" customHeight="1" s="13">
      <c r="A38" s="15" t="inlineStr">
        <is>
          <t>Radio Evasion</t>
        </is>
      </c>
      <c r="B38" s="15" t="inlineStr">
        <is>
          <t>Publicité</t>
        </is>
      </c>
      <c r="C38" s="15" t="inlineStr">
        <is>
          <t>Auditeurs des Yvelines, de l'Essonne, de Seine-et-Marne et de Seine-Maritime (beaucoup de maisons avec jardin)</t>
        </is>
      </c>
      <c r="D38" s="15" t="inlineStr">
        <is>
          <t>Décrochages Yvelines et Seine-Maritime</t>
        </is>
      </c>
      <c r="E38" s="15" t="inlineStr">
        <is>
          <t>Spots courts au printemps (« pierre naturelle pour sol ou terrasse selon pose : 35 €/m² pierre seule, dès 25 m², à retirer à Gennevilliers ou Vernon ») renvoyant vers la fiche produit.</t>
        </is>
      </c>
      <c r="F38" s="15" t="inlineStr">
        <is>
          <t>Sur devis</t>
        </is>
      </c>
      <c r="G38" s="20" t="inlineStr">
        <is>
          <t>Ouvrir</t>
        </is>
      </c>
      <c r="H38" s="15" t="n"/>
    </row>
    <row r="39" ht="41.25" customHeight="1" s="13">
      <c r="A39" s="15" t="inlineStr">
        <is>
          <t>Patrimoine Normand (revue trimestrielle)</t>
        </is>
      </c>
      <c r="B39" s="15" t="inlineStr">
        <is>
          <t>Publicité</t>
        </is>
      </c>
      <c r="C39" s="15" t="inlineStr">
        <is>
          <t>Propriétaires de maisons anciennes, manoirs et jardins normands</t>
        </is>
      </c>
      <c r="D39" s="15" t="inlineStr">
        <is>
          <t>Normandie</t>
        </is>
      </c>
      <c r="E39" s="15" t="inlineStr">
        <is>
          <t>Demander les conditions annonceurs. Préciser que MINYALA est un calcaire égyptien, pas une pierre normande.</t>
        </is>
      </c>
      <c r="F39" s="15" t="inlineStr">
        <is>
          <t>Sur demande</t>
        </is>
      </c>
      <c r="G39" s="20" t="inlineStr">
        <is>
          <t>Ouvrir</t>
        </is>
      </c>
      <c r="H39" s="15" t="n"/>
    </row>
    <row r="40" ht="68.25" customHeight="1" s="13">
      <c r="A40" s="15" t="inlineStr">
        <is>
          <t>Mediaposte — flyers ciblés</t>
        </is>
      </c>
      <c r="B40" s="15" t="inlineStr">
        <is>
          <t>Publicité</t>
        </is>
      </c>
      <c r="C40" s="15" t="inlineStr">
        <is>
          <t>Foyers des quartiers pavillonnaires choisis (Colombes, Bois-Colombes, Argenteuil, Rueil…)</t>
        </is>
      </c>
      <c r="D40" s="15" t="inlineStr">
        <is>
          <t>Île-de-France et Normandie, à la carte</t>
        </is>
      </c>
      <c r="E40" s="15" t="inlineStr">
        <is>
          <t>Flyer « sol, terrasse et abords de piscine en pierre naturelle, selon finition et pose — 35 €/m² pierre seule » avec QR code vers la boutique, distribué dans les zones de maisons autour de Gennevilliers. Respecter les Stop Pub et les règles Oui Pub locales.</t>
        </is>
      </c>
      <c r="F40" s="15" t="inlineStr">
        <is>
          <t>Sur devis</t>
        </is>
      </c>
      <c r="G40" s="20" t="inlineStr">
        <is>
          <t>Ouvrir</t>
        </is>
      </c>
      <c r="H40" s="15" t="n"/>
    </row>
    <row r="41" ht="41.25" customHeight="1" s="13">
      <c r="A41" s="15" t="inlineStr">
        <is>
          <t>InfoNormandie (site d'actualité locale)</t>
        </is>
      </c>
      <c r="B41" s="15" t="inlineStr">
        <is>
          <t>Presse</t>
        </is>
      </c>
      <c r="C41" s="15" t="inlineStr">
        <is>
          <t>Lecteurs de Rouen, Le Havre, Dieppe, Évreux, Vernon</t>
        </is>
      </c>
      <c r="D41" s="15" t="inlineStr">
        <is>
          <t>Seine-Maritime, Eure</t>
        </is>
      </c>
      <c r="E41" s="15" t="inlineStr">
        <is>
          <t>Proposer un sujet (chantier réalisé en Normandie) via la page de soumission et demander s'il existe des formats publicitaires.</t>
        </is>
      </c>
      <c r="F41" s="15" t="inlineStr">
        <is>
          <t>Aucune offre publiée</t>
        </is>
      </c>
      <c r="G41" s="20" t="inlineStr">
        <is>
          <t>Ouvrir</t>
        </is>
      </c>
      <c r="H41" s="15" t="n"/>
    </row>
    <row r="42" ht="15" customHeight="1" s="13">
      <c r="A42" s="15" t="inlineStr">
        <is>
          <t>Idées de ciblage</t>
        </is>
      </c>
      <c r="B42" s="15" t="n"/>
      <c r="C42" s="15" t="n"/>
      <c r="D42" s="15" t="n"/>
      <c r="E42" s="15" t="n"/>
      <c r="F42" s="15" t="n"/>
      <c r="G42" s="15" t="n"/>
      <c r="H42" s="15" t="n"/>
    </row>
    <row r="43" ht="95.25" customHeight="1" s="13">
      <c r="A43" s="15" t="inlineStr">
        <is>
          <t>• Saison : préparer en janvier-février (fiche Google, Houzz, Pinterest), pousser de mars à juin pour les terrasses et piscines, puis viser sols intérieurs et cuisines de septembre à novembre.</t>
        </is>
      </c>
      <c r="B43" s="15" t="n"/>
      <c r="C43" s="15" t="n"/>
      <c r="D43" s="15" t="n"/>
      <c r="E43" s="15" t="n"/>
      <c r="F43" s="15" t="n"/>
      <c r="G43" s="15" t="n"/>
      <c r="H43" s="15" t="n"/>
    </row>
    <row r="44" ht="41.25" customHeight="1" s="13">
      <c r="A44" s="15" t="inlineStr">
        <is>
          <t>• Piscines : visuels de plages en MINYALA diffusés d'avril à juin, avant l'ouverture des bassins.</t>
        </is>
      </c>
      <c r="B44" s="15" t="n"/>
      <c r="C44" s="15" t="n"/>
      <c r="D44" s="15" t="n"/>
      <c r="E44" s="15" t="n"/>
      <c r="F44" s="15" t="n"/>
      <c r="G44" s="15" t="n"/>
      <c r="H44" s="15" t="n"/>
    </row>
    <row r="45" ht="68.25" customHeight="1" s="13">
      <c r="A45" s="15" t="inlineStr">
        <is>
          <t>• Une terrasse familiale fait souvent plus de 25 m² : le minimum de commande n'est pas un frein, dites-le dans les annonces.</t>
        </is>
      </c>
      <c r="B45" s="15" t="n"/>
      <c r="C45" s="15" t="n"/>
      <c r="D45" s="15" t="n"/>
      <c r="E45" s="15" t="n"/>
      <c r="F45" s="15" t="n"/>
      <c r="G45" s="15" t="n"/>
      <c r="H45" s="15" t="n"/>
    </row>
    <row r="46" ht="54.75" customHeight="1" s="13">
      <c r="A46" s="15" t="inlineStr">
        <is>
          <t>• Reciblage des visiteurs du site seulement avec un bandeau cookies conforme (voir onglet Règles).</t>
        </is>
      </c>
      <c r="B46" s="15" t="n"/>
      <c r="C46" s="15" t="n"/>
      <c r="D46" s="15" t="n"/>
      <c r="E46" s="15" t="n"/>
      <c r="F46" s="15" t="n"/>
      <c r="G46" s="15" t="n"/>
      <c r="H46" s="15" t="n"/>
    </row>
    <row r="47" ht="95.25" customHeight="1" s="13">
      <c r="A47" s="15" t="inlineStr">
        <is>
          <t>• Collecter des contacts avec une case de consentement non pré-cochée (formulaire « recevoir les prix / le guide de pose », foires). Sans ce consentement, pas d'e-mail, de SMS ni d'appel à un particulier.</t>
        </is>
      </c>
      <c r="B47" s="15" t="n"/>
      <c r="C47" s="15" t="n"/>
      <c r="D47" s="15" t="n"/>
      <c r="E47" s="15" t="n"/>
      <c r="F47" s="15" t="n"/>
      <c r="G47" s="15" t="n"/>
      <c r="H47" s="15" t="n"/>
    </row>
    <row r="48" ht="68.25" customHeight="1" s="13">
      <c r="A48" s="15" t="inlineStr">
        <is>
          <t>• À décider : échantillons à retirer à Gennevilliers ou Vernon. Le tarif pro existe désormais, par devis et facture uniquement.</t>
        </is>
      </c>
      <c r="B48" s="15" t="n"/>
      <c r="C48" s="15" t="n"/>
      <c r="D48" s="15" t="n"/>
      <c r="E48" s="15" t="n"/>
      <c r="F48" s="15" t="n"/>
      <c r="G48" s="15" t="n"/>
      <c r="H48" s="15" t="n"/>
    </row>
  </sheetData>
  <hyperlinks>
    <hyperlink xmlns:r="http://schemas.openxmlformats.org/officeDocument/2006/relationships" ref="G2" display="Ouvrir" r:id="rId1"/>
    <hyperlink xmlns:r="http://schemas.openxmlformats.org/officeDocument/2006/relationships" ref="G3" display="Ouvrir" r:id="rId2"/>
    <hyperlink xmlns:r="http://schemas.openxmlformats.org/officeDocument/2006/relationships" ref="G4" display="Ouvrir" r:id="rId3"/>
    <hyperlink xmlns:r="http://schemas.openxmlformats.org/officeDocument/2006/relationships" ref="G5" display="Ouvrir" r:id="rId4"/>
    <hyperlink xmlns:r="http://schemas.openxmlformats.org/officeDocument/2006/relationships" ref="G6" display="Ouvrir" r:id="rId5"/>
    <hyperlink xmlns:r="http://schemas.openxmlformats.org/officeDocument/2006/relationships" ref="G7" display="Ouvrir" r:id="rId6"/>
    <hyperlink xmlns:r="http://schemas.openxmlformats.org/officeDocument/2006/relationships" ref="G9" display="Ouvrir" r:id="rId7"/>
    <hyperlink xmlns:r="http://schemas.openxmlformats.org/officeDocument/2006/relationships" ref="G10" display="Ouvrir" r:id="rId8"/>
    <hyperlink xmlns:r="http://schemas.openxmlformats.org/officeDocument/2006/relationships" ref="G11" display="Ouvrir" r:id="rId9"/>
    <hyperlink xmlns:r="http://schemas.openxmlformats.org/officeDocument/2006/relationships" ref="G12" display="Ouvrir" r:id="rId10"/>
    <hyperlink xmlns:r="http://schemas.openxmlformats.org/officeDocument/2006/relationships" ref="G13" display="Ouvrir" r:id="rId11"/>
    <hyperlink xmlns:r="http://schemas.openxmlformats.org/officeDocument/2006/relationships" ref="G14" display="Ouvrir" r:id="rId12"/>
    <hyperlink xmlns:r="http://schemas.openxmlformats.org/officeDocument/2006/relationships" ref="G15" display="Ouvrir" r:id="rId13"/>
    <hyperlink xmlns:r="http://schemas.openxmlformats.org/officeDocument/2006/relationships" ref="G16" display="Ouvrir" r:id="rId14"/>
    <hyperlink xmlns:r="http://schemas.openxmlformats.org/officeDocument/2006/relationships" ref="G17" display="Ouvrir" r:id="rId15"/>
    <hyperlink xmlns:r="http://schemas.openxmlformats.org/officeDocument/2006/relationships" ref="G18" display="Ouvrir" r:id="rId16"/>
    <hyperlink xmlns:r="http://schemas.openxmlformats.org/officeDocument/2006/relationships" ref="G19" display="Ouvrir" r:id="rId17"/>
    <hyperlink xmlns:r="http://schemas.openxmlformats.org/officeDocument/2006/relationships" ref="G20" display="Ouvrir" r:id="rId18"/>
    <hyperlink xmlns:r="http://schemas.openxmlformats.org/officeDocument/2006/relationships" ref="G21" display="Ouvrir" r:id="rId19"/>
    <hyperlink xmlns:r="http://schemas.openxmlformats.org/officeDocument/2006/relationships" ref="G22" display="Ouvrir" r:id="rId20"/>
    <hyperlink xmlns:r="http://schemas.openxmlformats.org/officeDocument/2006/relationships" ref="G23" display="Ouvrir" r:id="rId21"/>
    <hyperlink xmlns:r="http://schemas.openxmlformats.org/officeDocument/2006/relationships" ref="G24" display="Ouvrir" r:id="rId22"/>
    <hyperlink xmlns:r="http://schemas.openxmlformats.org/officeDocument/2006/relationships" ref="G25" display="Ouvrir" r:id="rId23"/>
    <hyperlink xmlns:r="http://schemas.openxmlformats.org/officeDocument/2006/relationships" ref="G26" display="Ouvrir" r:id="rId24"/>
    <hyperlink xmlns:r="http://schemas.openxmlformats.org/officeDocument/2006/relationships" ref="G27" display="Ouvrir" r:id="rId25"/>
    <hyperlink xmlns:r="http://schemas.openxmlformats.org/officeDocument/2006/relationships" ref="G28" display="Ouvrir" r:id="rId26"/>
    <hyperlink xmlns:r="http://schemas.openxmlformats.org/officeDocument/2006/relationships" ref="G29" display="Ouvrir" r:id="rId27"/>
    <hyperlink xmlns:r="http://schemas.openxmlformats.org/officeDocument/2006/relationships" ref="G30" display="Ouvrir" r:id="rId28"/>
    <hyperlink xmlns:r="http://schemas.openxmlformats.org/officeDocument/2006/relationships" ref="G31" display="Ouvrir" r:id="rId29"/>
    <hyperlink xmlns:r="http://schemas.openxmlformats.org/officeDocument/2006/relationships" ref="G32" display="Ouvrir" r:id="rId30"/>
    <hyperlink xmlns:r="http://schemas.openxmlformats.org/officeDocument/2006/relationships" ref="G33" display="Ouvrir" r:id="rId31"/>
    <hyperlink xmlns:r="http://schemas.openxmlformats.org/officeDocument/2006/relationships" ref="G34" display="Ouvrir" r:id="rId32"/>
    <hyperlink xmlns:r="http://schemas.openxmlformats.org/officeDocument/2006/relationships" ref="G35" display="Ouvrir" r:id="rId33"/>
    <hyperlink xmlns:r="http://schemas.openxmlformats.org/officeDocument/2006/relationships" ref="G36" display="Ouvrir" r:id="rId34"/>
    <hyperlink xmlns:r="http://schemas.openxmlformats.org/officeDocument/2006/relationships" ref="G37" display="Ouvrir" r:id="rId35"/>
    <hyperlink xmlns:r="http://schemas.openxmlformats.org/officeDocument/2006/relationships" ref="G38" display="Ouvrir" r:id="rId36"/>
    <hyperlink xmlns:r="http://schemas.openxmlformats.org/officeDocument/2006/relationships" ref="G39" display="Ouvrir" r:id="rId37"/>
    <hyperlink xmlns:r="http://schemas.openxmlformats.org/officeDocument/2006/relationships" ref="G40" display="Ouvrir" r:id="rId38"/>
    <hyperlink xmlns:r="http://schemas.openxmlformats.org/officeDocument/2006/relationships" ref="G41" display="Ouvrir" r:id="rId3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2" min="1" max="1"/>
    <col width="22" customWidth="1" style="12" min="2" max="3"/>
    <col width="50" customWidth="1" style="12" min="4" max="4"/>
    <col width="22" customWidth="1" style="12" min="5" max="5"/>
  </cols>
  <sheetData>
    <row r="1" ht="15" customHeight="1" s="13">
      <c r="A1" s="19" t="inlineStr">
        <is>
          <t>Canal</t>
        </is>
      </c>
      <c r="B1" s="19" t="inlineStr">
        <is>
          <t>Pour qui</t>
        </is>
      </c>
      <c r="C1" s="19" t="inlineStr">
        <is>
          <t>Dates / lieu</t>
        </is>
      </c>
      <c r="D1" s="19" t="inlineStr">
        <is>
          <t>Ce qu'il faut faire</t>
        </is>
      </c>
      <c r="E1" s="19" t="inlineStr">
        <is>
          <t>Lien</t>
        </is>
      </c>
    </row>
    <row r="2" ht="27.75" customHeight="1" s="13">
      <c r="A2" s="15" t="inlineStr">
        <is>
          <t>Backacia</t>
        </is>
      </c>
      <c r="B2" s="15" t="inlineStr">
        <is>
          <t>Pros du bâtiment (surplus, fins de série)</t>
        </is>
      </c>
      <c r="C2" s="15" t="inlineStr">
        <is>
          <t>Entrepôt Ivry-sur-Seine</t>
        </is>
      </c>
      <c r="D2" s="15" t="inlineStr">
        <is>
          <t>Demander s'ils acceptent un lot de dallage en pierre et à quelles conditions.</t>
        </is>
      </c>
      <c r="E2" s="20" t="inlineStr">
        <is>
          <t>Ouvrir</t>
        </is>
      </c>
    </row>
    <row r="3" ht="27.75" customHeight="1" s="13">
      <c r="A3" s="15" t="inlineStr">
        <is>
          <t>Cycle Up</t>
        </is>
      </c>
      <c r="B3" s="15" t="inlineStr">
        <is>
          <t>Architectes, constructeurs, négoces</t>
        </is>
      </c>
      <c r="C3" s="15" t="inlineStr">
        <is>
          <t>Paris</t>
        </is>
      </c>
      <c r="D3" s="15" t="inlineStr">
        <is>
          <t>Marketplace des surplus et stocks invendus du négoce. Demander s'ils prennent la pierre.</t>
        </is>
      </c>
      <c r="E3" s="20" t="inlineStr">
        <is>
          <t>Ouvrir</t>
        </is>
      </c>
    </row>
    <row r="4" ht="41.25" customHeight="1" s="13">
      <c r="A4" s="15" t="inlineStr">
        <is>
          <t>BOAMP — alertes marchés publics</t>
        </is>
      </c>
      <c r="B4" s="15" t="inlineStr">
        <is>
          <t>Communes, Paris La Défense, bailleurs</t>
        </is>
      </c>
      <c r="C4" s="15" t="inlineStr">
        <is>
          <t>Filtrer 75, 92, 95, 76, 14, 27</t>
        </is>
      </c>
      <c r="D4" s="15" t="inlineStr">
        <is>
          <t>Créer des alertes « pierre naturelle » et « dallage ». Contacter les entreprises qui gagnent ces marchés pour les approvisionner.</t>
        </is>
      </c>
      <c r="E4" s="20" t="inlineStr">
        <is>
          <t>Ouvrir</t>
        </is>
      </c>
    </row>
    <row r="5" ht="54.75" customHeight="1" s="13">
      <c r="A5" s="15" t="inlineStr">
        <is>
          <t>Marché public : piscine de Chatou (78)</t>
        </is>
      </c>
      <c r="B5" s="15" t="inlineStr">
        <is>
          <t>Entreprises qui feront les travaux</t>
        </is>
      </c>
      <c r="C5" s="15" t="inlineStr">
        <is>
          <t>Avis publié le 20/01/2026, travaux annoncés sept. 2026 – juil. 2027</t>
        </is>
      </c>
      <c r="D5" s="15" t="inlineStr">
        <is>
          <t>Suivre l'avis (procédure annoncée comme relancée) et contacter les entreprises retenues pour les plages et abords.</t>
        </is>
      </c>
      <c r="E5" s="20" t="inlineStr">
        <is>
          <t>Ouvrir</t>
        </is>
      </c>
    </row>
    <row r="6" ht="41.25" customHeight="1" s="13">
      <c r="A6" s="15" t="inlineStr">
        <is>
          <t>EquipHotel 2026</t>
        </is>
      </c>
      <c r="B6" s="15" t="inlineStr">
        <is>
          <t>Architectes et agenceurs d'hôtels et restaurants</t>
        </is>
      </c>
      <c r="C6" s="15" t="inlineStr">
        <is>
          <t>2–5 novembre 2026, Paris Expo Porte de Versailles</t>
        </is>
      </c>
      <c r="D6" s="15" t="inlineStr">
        <is>
          <t>Visiter pour rencontrer des prescripteurs de sols et terrasses pour l'hôtellerie.</t>
        </is>
      </c>
      <c r="E6" s="20" t="inlineStr">
        <is>
          <t>Ouvrir</t>
        </is>
      </c>
    </row>
    <row r="7" ht="54.75" customHeight="1" s="13">
      <c r="A7" s="15" t="inlineStr">
        <is>
          <t>Piscine Global Europe 2026</t>
        </is>
      </c>
      <c r="B7" s="15" t="inlineStr">
        <is>
          <t>Piscinistes et réseaux (Mondial Piscine, Magiline, L'Esprit Piscine…)</t>
        </is>
      </c>
      <c r="C7" s="15" t="inlineStr">
        <is>
          <t>17–20 novembre 2026, Eurexpo Lyon</t>
        </is>
      </c>
      <c r="D7" s="15" t="inlineStr">
        <is>
          <t>Visiter avec photos et prix pour rencontrer les réseaux de piscinistes dont plusieurs agences sont dans l'onglet Prospects.</t>
        </is>
      </c>
      <c r="E7" s="20" t="inlineStr">
        <is>
          <t>Ouvrir</t>
        </is>
      </c>
    </row>
    <row r="8" ht="41.25" customHeight="1" s="13">
      <c r="A8" s="15" t="inlineStr">
        <is>
          <t>Salon des Maires et des Collectivités 2026</t>
        </is>
      </c>
      <c r="B8" s="15" t="inlineStr">
        <is>
          <t>Services voirie et espaces publics</t>
        </is>
      </c>
      <c r="C8" s="15" t="inlineStr">
        <is>
          <t>24–26 novembre 2026, Paris Expo Porte de Versailles</t>
        </is>
      </c>
      <c r="D8" s="15" t="inlineStr">
        <is>
          <t>Repérer les futurs appels d'offres de dallage. Ne proposer MINYALA pour l'espace public qu'avec des essais (glissance, gel, flexion) adaptés à un calcaire de 2 cm.</t>
        </is>
      </c>
      <c r="E8" s="20" t="inlineStr">
        <is>
          <t>Ouvrir</t>
        </is>
      </c>
    </row>
    <row r="9" ht="41.25" customHeight="1" s="13">
      <c r="A9" s="15" t="inlineStr">
        <is>
          <t>Paysalia + Rocalia 2027</t>
        </is>
      </c>
      <c r="B9" s="15" t="inlineStr">
        <is>
          <t>Paysagistes, marbriers, négociants (Rocalia = salon de la pierre)</t>
        </is>
      </c>
      <c r="C9" s="15" t="inlineStr">
        <is>
          <t>30 nov. – 2 déc. 2027, Eurexpo Lyon (dates Rocalia à confirmer)</t>
        </is>
      </c>
      <c r="D9" s="15" t="inlineStr">
        <is>
          <t>Visiter ou exposer pour rencontrer les acheteurs de pierre en volume.</t>
        </is>
      </c>
      <c r="E9" s="20" t="inlineStr">
        <is>
          <t>Ouvrir</t>
        </is>
      </c>
    </row>
    <row r="10" ht="27.75" customHeight="1" s="13">
      <c r="A10" s="15" t="inlineStr">
        <is>
          <t>118712 — catégorie pierres naturelles</t>
        </is>
      </c>
      <c r="B10" s="15" t="inlineStr">
        <is>
          <t>Pros qui cherchent un fournisseur</t>
        </is>
      </c>
      <c r="C10" s="15" t="inlineStr">
        <is>
          <t>Île-de-France</t>
        </is>
      </c>
      <c r="D10" s="15" t="inlineStr">
        <is>
          <t>Vérifier que Pierre d'Égypte y figure, avec retrait sur rendez-vous et lien vers le site.</t>
        </is>
      </c>
      <c r="E10" s="20" t="inlineStr">
        <is>
          <t>Ouvrir</t>
        </is>
      </c>
    </row>
    <row r="11" ht="41.25" customHeight="1" s="13">
      <c r="A11" s="15" t="inlineStr">
        <is>
          <t>Les Thermalies 2027</t>
        </is>
      </c>
      <c r="B11" s="15" t="inlineStr">
        <is>
          <t>Exploitants de spas et de thalassos (dont Côte Fleurie)</t>
        </is>
      </c>
      <c r="C11" s="15" t="inlineStr">
        <is>
          <t>21–24 janvier 2027, Carrousel du Louvre, Paris</t>
        </is>
      </c>
      <c r="D11" s="15" t="inlineStr">
        <is>
          <t>Repérer les spas qui préparent une rénovation (pavillons « Luxury Spa » et « Innovation Design »).</t>
        </is>
      </c>
      <c r="E11" s="20" t="inlineStr">
        <is>
          <t>Ouvrir</t>
        </is>
      </c>
    </row>
    <row r="12" ht="54.75" customHeight="1" s="13">
      <c r="A12" s="15" t="inlineStr">
        <is>
          <t>Trouville-sur-Mer — réaménagement de la rue des Bains</t>
        </is>
      </c>
      <c r="B12" s="15" t="inlineStr">
        <is>
          <t>Ville, entreprises de voirie, restaurants de la rue</t>
        </is>
      </c>
      <c r="C12" s="15" t="inlineStr">
        <is>
          <t>Réseaux jusqu'au 3 avril 2027, puis nouveau revêtement (date à confirmer)</t>
        </is>
      </c>
      <c r="D12" s="15" t="inlineStr">
        <is>
          <t>Suivre le futur marché de revêtement et contacter les restaurants dont les terrasses seront refaites.</t>
        </is>
      </c>
      <c r="E12" s="20" t="inlineStr">
        <is>
          <t>Ouvrir</t>
        </is>
      </c>
    </row>
    <row r="13" ht="41.25" customHeight="1" s="13">
      <c r="A13" s="15" t="inlineStr">
        <is>
          <t>SIMI 2026 (immobilier d'entreprise)</t>
        </is>
      </c>
      <c r="B13" s="15" t="inlineStr">
        <is>
          <t>Promoteurs et aménageurs</t>
        </is>
      </c>
      <c r="C13" s="15" t="inlineStr">
        <is>
          <t>8–10 décembre 2026, Palais des Congrès de Paris (à confirmer)</t>
        </is>
      </c>
      <c r="D13" s="15" t="inlineStr">
        <is>
          <t>Contacts promoteurs pour halls, commerces en pied d'immeuble et extérieurs. Salon surtout tertiaire.</t>
        </is>
      </c>
      <c r="E13" s="20" t="inlineStr">
        <is>
          <t>Ouvrir</t>
        </is>
      </c>
    </row>
    <row r="14" ht="41.25" customHeight="1" s="13">
      <c r="A14" s="15" t="inlineStr">
        <is>
          <t>Annuaire des showrooms Espace Aubade</t>
        </is>
      </c>
      <c r="B14" s="15" t="inlineStr">
        <is>
          <t>Showrooms carrelage indépendants</t>
        </is>
      </c>
      <c r="C14" s="15" t="inlineStr">
        <is>
          <t>Par département (Île-de-France, Normandie)</t>
        </is>
      </c>
      <c r="D14" s="15" t="inlineStr">
        <is>
          <t>Parcourir l'annuaire par département pour trouver d'autres showrooms indépendants à qui proposer MINYALA.</t>
        </is>
      </c>
      <c r="E14" s="20" t="inlineStr">
        <is>
          <t>Ouvrir</t>
        </is>
      </c>
    </row>
    <row r="15" ht="41.25" customHeight="1" s="13">
      <c r="A15" s="15" t="inlineStr">
        <is>
          <t>Annuaire des magasins Gedimat</t>
        </is>
      </c>
      <c r="B15" s="15" t="inlineStr">
        <is>
          <t>Négoces indépendants avec rayon pavés-dallages</t>
        </is>
      </c>
      <c r="C15" s="15" t="inlineStr">
        <is>
          <t>92, 78, 94, 77, 27, 76</t>
        </is>
      </c>
      <c r="D15" s="15" t="inlineStr">
        <is>
          <t>Contacter les magasins qui ont un rayon Pavés-Dallages et une salle d'exposition (deux sont déjà dans Prospects : Clamart et Houilles).</t>
        </is>
      </c>
      <c r="E15" s="20" t="inlineStr">
        <is>
          <t>Ouvrir</t>
        </is>
      </c>
    </row>
    <row r="16" ht="54.75" customHeight="1" s="13">
      <c r="A16" s="15" t="inlineStr">
        <is>
          <t>Destockplus (déstockage B2B France)</t>
        </is>
      </c>
      <c r="B16" s="15" t="inlineStr">
        <is>
          <t>Pros qui achètent des lots</t>
        </is>
      </c>
      <c r="C16" s="15" t="inlineStr">
        <is>
          <t>France — annonce gratuite (publiée sous 72 h)</t>
        </is>
      </c>
      <c r="D16" s="15" t="inlineStr">
        <is>
          <t>Publier le lot MINYALA (500–2 000 m², tarif pro sur devis — saisir le prix HT convenu dans le champ prix —, dès 25 m², Gennevilliers et Vernon). Vérifier les prix des lots concurrents avant de publier.</t>
        </is>
      </c>
      <c r="E16" s="20" t="inlineStr">
        <is>
          <t>Ouvrir</t>
        </is>
      </c>
    </row>
    <row r="17" ht="41.25" customHeight="1" s="13">
      <c r="A17" s="15" t="inlineStr">
        <is>
          <t>StoneAdd (demandes d'acheteurs pierre)</t>
        </is>
      </c>
      <c r="B17" s="15" t="inlineStr">
        <is>
          <t>Importateurs, grossistes, poseurs</t>
        </is>
      </c>
      <c r="C17" s="15" t="inlineStr">
        <is>
          <t>International — 27 000+ demandes publiques</t>
        </is>
      </c>
      <c r="D17" s="15" t="inlineStr">
        <is>
          <t>Inscription gratuite, coordonnées des acheteurs réservées au Premium. Meilleures demandes trouvées ici (Autriche, Belgique, France) : voir onglet Demandes RFQ.</t>
        </is>
      </c>
      <c r="E17" s="20" t="inlineStr">
        <is>
          <t>Ouvrir</t>
        </is>
      </c>
    </row>
    <row r="18" ht="41.25" customHeight="1" s="13">
      <c r="A18" s="15" t="inlineStr">
        <is>
          <t>StoneContact</t>
        </is>
      </c>
      <c r="B18" s="15" t="inlineStr">
        <is>
          <t>Acheteurs de pierre du monde entier</t>
        </is>
      </c>
      <c r="C18" s="15" t="inlineStr">
        <is>
          <t>International</t>
        </is>
      </c>
      <c r="D18" s="15" t="inlineStr">
        <is>
          <t>Créer le compte gratuit et publier la fiche MINYALA (textes dans rfq-kit.md). Ne payer Diamond (≈ 2 000 $/an, non confirmé) qu'après un mois de mesure.</t>
        </is>
      </c>
      <c r="E18" s="20" t="inlineStr">
        <is>
          <t>Ouvrir</t>
        </is>
      </c>
    </row>
    <row r="19" ht="27.75" customHeight="1" s="13">
      <c r="A19" s="15" t="inlineStr">
        <is>
          <t>Europages</t>
        </is>
      </c>
      <c r="B19" s="15" t="inlineStr">
        <is>
          <t>Acheteurs professionnels européens</t>
        </is>
      </c>
      <c r="C19" s="15" t="inlineStr">
        <is>
          <t>Europe — page entreprise</t>
        </is>
      </c>
      <c r="D19" s="15" t="inlineStr">
        <is>
          <t>Créer la page entreprise gratuite ; tester le « Request Hub » fournisseur (essai gratuit annoncé).</t>
        </is>
      </c>
      <c r="E19" s="20" t="inlineStr">
        <is>
          <t>Ouvrir</t>
        </is>
      </c>
    </row>
    <row r="20" ht="41.25" customHeight="1" s="13">
      <c r="A20" s="15" t="inlineStr">
        <is>
          <t>go4WorldBusiness</t>
        </is>
      </c>
      <c r="B20" s="15" t="inlineStr">
        <is>
          <t>Importateurs (souvent par conteneur)</t>
        </is>
      </c>
      <c r="C20" s="15" t="inlineStr">
        <is>
          <t>International — abonnement dès 75 $/mois</t>
        </is>
      </c>
      <c r="D20" s="15" t="inlineStr">
        <is>
          <t>Seulement si StoneAdd et StoneContact ne suffisent pas : plusieurs demandes européennes de calcaire / marbre crème.</t>
        </is>
      </c>
      <c r="E20" s="20" t="inlineStr">
        <is>
          <t>Ouvrir</t>
        </is>
      </c>
    </row>
    <row r="21" ht="68.25" customHeight="1" s="13">
      <c r="A21" s="15" t="inlineStr">
        <is>
          <t>ChatGPT (via Shopify)</t>
        </is>
      </c>
      <c r="B21" s="15" t="inlineStr">
        <is>
          <t>Acheteurs qui demandent conseil à ChatGPT</t>
        </is>
      </c>
      <c r="C21" s="15" t="inlineStr">
        <is>
          <t>Non disponible (13/10/2026) : réservé aux boutiques qui vendent aux États-Unis</t>
        </is>
      </c>
      <c r="D21" s="15" t="inlineStr">
        <is>
          <t>Pas de canal de vente possible pour l'instant. Visibilité gratuite : les pages du site peuvent être citées par la recherche de ChatGPT. D'ici là : passer les produits « Acompte » en « Non répertorié », remplir les CGV et la politique de remboursement, ajouter des photos réelles.</t>
        </is>
      </c>
      <c r="E21" s="20" t="inlineStr">
        <is>
          <t>Ouvrir</t>
        </is>
      </c>
    </row>
    <row r="22" ht="54.75" customHeight="1" s="13">
      <c r="A22" s="15" t="inlineStr">
        <is>
          <t>E-mail / téléphone aux pros</t>
        </is>
      </c>
      <c r="B22" s="15" t="inlineStr">
        <is>
          <t>Les entreprises de l'onglet Prospects</t>
        </is>
      </c>
      <c r="C22" s="15" t="inlineStr">
        <is>
          <t>—</t>
        </is>
      </c>
      <c r="D22" s="15" t="inlineStr">
        <is>
          <t>Message prêt dans le kit de vente (section 4). Autorisé si le message concerne leur métier, avec possibilité de refuser (voir Règles). 10 contacts par semaine, relance après 7 jours.</t>
        </is>
      </c>
      <c r="E22" s="15" t="n"/>
    </row>
  </sheetData>
  <hyperlinks>
    <hyperlink xmlns:r="http://schemas.openxmlformats.org/officeDocument/2006/relationships" ref="E2" display="Ouvrir" r:id="rId1"/>
    <hyperlink xmlns:r="http://schemas.openxmlformats.org/officeDocument/2006/relationships" ref="E3" display="Ouvrir" r:id="rId2"/>
    <hyperlink xmlns:r="http://schemas.openxmlformats.org/officeDocument/2006/relationships" ref="E4" display="Ouvrir" r:id="rId3"/>
    <hyperlink xmlns:r="http://schemas.openxmlformats.org/officeDocument/2006/relationships" ref="E5" display="Ouvrir" r:id="rId4"/>
    <hyperlink xmlns:r="http://schemas.openxmlformats.org/officeDocument/2006/relationships" ref="E6" display="Ouvrir" r:id="rId5"/>
    <hyperlink xmlns:r="http://schemas.openxmlformats.org/officeDocument/2006/relationships" ref="E7" display="Ouvrir" r:id="rId6"/>
    <hyperlink xmlns:r="http://schemas.openxmlformats.org/officeDocument/2006/relationships" ref="E8" display="Ouvrir" r:id="rId7"/>
    <hyperlink xmlns:r="http://schemas.openxmlformats.org/officeDocument/2006/relationships" ref="E9" display="Ouvrir" r:id="rId8"/>
    <hyperlink xmlns:r="http://schemas.openxmlformats.org/officeDocument/2006/relationships" ref="E10" display="Ouvrir" r:id="rId9"/>
    <hyperlink xmlns:r="http://schemas.openxmlformats.org/officeDocument/2006/relationships" ref="E11" display="Ouvrir" r:id="rId10"/>
    <hyperlink xmlns:r="http://schemas.openxmlformats.org/officeDocument/2006/relationships" ref="E12" display="Ouvrir" r:id="rId11"/>
    <hyperlink xmlns:r="http://schemas.openxmlformats.org/officeDocument/2006/relationships" ref="E13" display="Ouvrir" r:id="rId12"/>
    <hyperlink xmlns:r="http://schemas.openxmlformats.org/officeDocument/2006/relationships" ref="E14" display="Ouvrir" r:id="rId13"/>
    <hyperlink xmlns:r="http://schemas.openxmlformats.org/officeDocument/2006/relationships" ref="E15" display="Ouvrir" r:id="rId14"/>
    <hyperlink xmlns:r="http://schemas.openxmlformats.org/officeDocument/2006/relationships" ref="E16" display="Ouvrir" r:id="rId15"/>
    <hyperlink xmlns:r="http://schemas.openxmlformats.org/officeDocument/2006/relationships" ref="E17" display="Ouvrir" r:id="rId16"/>
    <hyperlink xmlns:r="http://schemas.openxmlformats.org/officeDocument/2006/relationships" ref="E18" display="Ouvrir" r:id="rId17"/>
    <hyperlink xmlns:r="http://schemas.openxmlformats.org/officeDocument/2006/relationships" ref="E19" display="Ouvrir" r:id="rId18"/>
    <hyperlink xmlns:r="http://schemas.openxmlformats.org/officeDocument/2006/relationships" ref="E20" display="Ouvrir" r:id="rId19"/>
    <hyperlink xmlns:r="http://schemas.openxmlformats.org/officeDocument/2006/relationships" ref="E21" display="Ouvrir" r:id="rId2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2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2" min="1" max="1"/>
    <col width="22" customWidth="1" style="12" min="2" max="4"/>
    <col width="50" customWidth="1" style="12" min="5" max="5"/>
    <col width="22" customWidth="1" style="12" min="6" max="10"/>
  </cols>
  <sheetData>
    <row r="1" ht="27.75" customHeight="1" s="13">
      <c r="A1" s="19" t="inlineStr">
        <is>
          <t>Groupe</t>
        </is>
      </c>
      <c r="B1" s="19" t="inlineStr">
        <is>
          <t>Zone</t>
        </is>
      </c>
      <c r="C1" s="19" t="inlineStr">
        <is>
          <t>Type</t>
        </is>
      </c>
      <c r="D1" s="19" t="inlineStr">
        <is>
          <t>Membres (source, date)</t>
        </is>
      </c>
      <c r="E1" s="19" t="inlineStr">
        <is>
          <t>Ce qu'il faut faire</t>
        </is>
      </c>
      <c r="F1" s="19" t="inlineStr">
        <is>
          <t>Lien</t>
        </is>
      </c>
      <c r="G1" s="19" t="inlineStr">
        <is>
          <t>Source</t>
        </is>
      </c>
      <c r="H1" s="19" t="inlineStr">
        <is>
          <t>Demande admin le</t>
        </is>
      </c>
      <c r="I1" s="19" t="inlineStr">
        <is>
          <t>Réponse</t>
        </is>
      </c>
      <c r="J1" s="19" t="inlineStr">
        <is>
          <t>Publié le</t>
        </is>
      </c>
    </row>
    <row r="2" ht="81.75" customHeight="1" s="13">
      <c r="A2" s="15" t="inlineStr">
        <is>
          <t>VendezVosMateriaux.fr - Vente de matériaux et outils de chantier</t>
        </is>
      </c>
      <c r="B2" s="15" t="inlineStr">
        <is>
          <t>France</t>
        </is>
      </c>
      <c r="C2" s="15" t="inlineStr">
        <is>
          <t>Groupe public matériaux (pros et particuliers)</t>
        </is>
      </c>
      <c r="D2" s="15" t="inlineStr">
        <is>
          <t>46,5 K (vu le 12/10/2026)</t>
        </is>
      </c>
      <c r="E2" s="15" t="inlineStr">
        <is>
          <t>Groupe mixte pros + particuliers. Annonce au tarif pro en attente depuis le 12/10/2026 : demander à l'admin de la modifier ou la retirer AVANT validation, puis republier au prix public 35 €/m² pierre seule avec « Professionnels et gros volumes : tarif sur demande (devis et facture) ». Lien du groupe à ajouter.</t>
        </is>
      </c>
      <c r="F2" s="15" t="n"/>
      <c r="G2" s="15" t="inlineStr">
        <is>
          <t>Capture du 12/10</t>
        </is>
      </c>
      <c r="H2" s="15" t="inlineStr">
        <is>
          <t>12/10/2026</t>
        </is>
      </c>
      <c r="I2" s="15" t="inlineStr">
        <is>
          <t>En attente</t>
        </is>
      </c>
      <c r="J2" s="15" t="n"/>
    </row>
    <row r="3" ht="81.75" customHeight="1" s="13">
      <c r="A3" s="15" t="inlineStr">
        <is>
          <t>LES PRO DU BÂTIMENT</t>
        </is>
      </c>
      <c r="B3" s="15" t="inlineStr">
        <is>
          <t>France</t>
        </is>
      </c>
      <c r="C3" s="15" t="inlineStr">
        <is>
          <t>Groupe pro</t>
        </is>
      </c>
      <c r="D3" s="15" t="inlineStr">
        <is>
          <t>Non relevé</t>
        </is>
      </c>
      <c r="E3" s="15" t="inlineStr">
        <is>
          <t>Annonce déjà présente (doublon évité le 12/10/2026). Vérifier : groupe privé et réservé aux pros ? Quel prix affiche l'annonce ? Si le groupe est ouvert aux particuliers, modifier l'annonce au prix public 35 €/m² pierre seule + « Pros : tarif sur demande ». Sinon, répondre seulement. Lien du groupe à ajouter.</t>
        </is>
      </c>
      <c r="F3" s="15" t="n"/>
      <c r="G3" s="15" t="inlineStr">
        <is>
          <t>Capture du 12/10</t>
        </is>
      </c>
      <c r="H3" s="15" t="n"/>
      <c r="I3" s="15" t="n"/>
      <c r="J3" s="15" t="inlineStr">
        <is>
          <t>avant le 12/10/2026</t>
        </is>
      </c>
    </row>
    <row r="4" ht="41.25" customHeight="1" s="13">
      <c r="A4" s="15" t="inlineStr">
        <is>
          <t>Tu sais que tu viens de Rouen quand…</t>
        </is>
      </c>
      <c r="B4" s="15" t="inlineStr">
        <is>
          <t>Rouen (76)</t>
        </is>
      </c>
      <c r="C4" s="15" t="inlineStr">
        <is>
          <t>Communauté de ville</t>
        </is>
      </c>
      <c r="D4" s="15" t="inlineStr">
        <is>
          <t>45 000+ (Tendance Ouest, 2018) ; ~48 000 (ici.fr, 2019)</t>
        </is>
      </c>
      <c r="E4" s="15" t="inlineStr">
        <is>
          <t>Prioritaire Normandie. Rejoindre avec la Page, lire le règlement, écrire à l'admin avant de publier une seule annonce. Tous les messages y sont validés par l'admin.</t>
        </is>
      </c>
      <c r="F4" s="20" t="inlineStr">
        <is>
          <t>Ouvrir</t>
        </is>
      </c>
      <c r="G4" s="20" t="inlineStr">
        <is>
          <t>Voir</t>
        </is>
      </c>
      <c r="H4" s="15" t="n"/>
      <c r="I4" s="15" t="n"/>
      <c r="J4" s="15" t="n"/>
    </row>
    <row r="5" ht="54.75" customHeight="1" s="13">
      <c r="A5" s="15" t="inlineStr">
        <is>
          <t>Réseau « Tu sais que tu viens de… » (≈50 groupes)</t>
        </is>
      </c>
      <c r="B5" s="15" t="inlineStr">
        <is>
          <t>Seine-Maritime, Eure, Caen, Lisieux…</t>
        </is>
      </c>
      <c r="C5" s="15" t="inlineStr">
        <is>
          <t>Réseau de groupes</t>
        </is>
      </c>
      <c r="D5" s="15" t="inlineStr">
        <is>
          <t>~500 000 abonnés au total (ici.fr, 2019)</t>
        </is>
      </c>
      <c r="E5" s="15" t="inlineStr">
        <is>
          <t>Plutôt qu'un groupe à la fois : demander à l'administrateur du réseau s'il existe une offre commerçant ou un partenariat payant (« Tu sais que tu viens de gagner » en 2019, à vérifier).</t>
        </is>
      </c>
      <c r="F5" s="15" t="n"/>
      <c r="G5" s="20" t="inlineStr">
        <is>
          <t>Voir</t>
        </is>
      </c>
      <c r="H5" s="15" t="n"/>
      <c r="I5" s="15" t="n"/>
      <c r="J5" s="15" t="n"/>
    </row>
    <row r="6" ht="27.75" customHeight="1" s="13">
      <c r="A6" s="15" t="inlineStr">
        <is>
          <t>Tu sais que tu viens de… Caen</t>
        </is>
      </c>
      <c r="B6" s="15" t="inlineStr">
        <is>
          <t>Caen (14)</t>
        </is>
      </c>
      <c r="C6" s="15" t="inlineStr">
        <is>
          <t>Communauté de ville</t>
        </is>
      </c>
      <c r="D6" s="15" t="inlineStr">
        <is>
          <t>Non publié</t>
        </is>
      </c>
      <c r="E6" s="15" t="inlineStr">
        <is>
          <t>Rejoindre avec la Page, lire le règlement, écrire à l'admin avant de publier une seule annonce.</t>
        </is>
      </c>
      <c r="F6" s="20" t="inlineStr">
        <is>
          <t>Ouvrir</t>
        </is>
      </c>
      <c r="G6" s="20" t="inlineStr">
        <is>
          <t>Voir</t>
        </is>
      </c>
      <c r="H6" s="15" t="n"/>
      <c r="I6" s="15" t="n"/>
      <c r="J6" s="15" t="n"/>
    </row>
    <row r="7" ht="27.75" customHeight="1" s="13">
      <c r="A7" s="15" t="inlineStr">
        <is>
          <t>Tu sais que tu viens de… Le Havre</t>
        </is>
      </c>
      <c r="B7" s="15" t="inlineStr">
        <is>
          <t>Le Havre (76)</t>
        </is>
      </c>
      <c r="C7" s="15" t="inlineStr">
        <is>
          <t>Communauté de ville</t>
        </is>
      </c>
      <c r="D7" s="15" t="inlineStr">
        <is>
          <t>Non publié</t>
        </is>
      </c>
      <c r="E7" s="15" t="inlineStr">
        <is>
          <t>Rejoindre avec la Page, lire le règlement, écrire à l'admin avant de publier une seule annonce.</t>
        </is>
      </c>
      <c r="F7" s="20" t="inlineStr">
        <is>
          <t>Ouvrir</t>
        </is>
      </c>
      <c r="G7" s="20" t="inlineStr">
        <is>
          <t>Voir</t>
        </is>
      </c>
      <c r="H7" s="15" t="n"/>
      <c r="I7" s="15" t="n"/>
      <c r="J7" s="15" t="n"/>
    </row>
    <row r="8" ht="54.75" customHeight="1" s="13">
      <c r="A8" s="15" t="inlineStr">
        <is>
          <t>Tu sais que tu viens de… Évreux</t>
        </is>
      </c>
      <c r="B8" s="15" t="inlineStr">
        <is>
          <t>Évreux (27)</t>
        </is>
      </c>
      <c r="C8" s="15" t="inlineStr">
        <is>
          <t>Communauté de ville</t>
        </is>
      </c>
      <c r="D8" s="15" t="inlineStr">
        <is>
          <t>29 000+ (ici.fr, 2016–2019 ; article de 2016 indisponible)</t>
        </is>
      </c>
      <c r="E8" s="15" t="inlineStr">
        <is>
          <t>Rejoindre avec la Page, lire le règlement, écrire à l'admin avant de publier une seule annonce. (Lien relevé dans un article ici.fr de 2016 aujourd'hui indisponible ; source jointe : article ici.fr de 2019 sur le même réseau.)</t>
        </is>
      </c>
      <c r="F8" s="20" t="inlineStr">
        <is>
          <t>Ouvrir</t>
        </is>
      </c>
      <c r="G8" s="20" t="inlineStr">
        <is>
          <t>Voir</t>
        </is>
      </c>
      <c r="H8" s="15" t="n"/>
      <c r="I8" s="15" t="n"/>
      <c r="J8" s="15" t="n"/>
    </row>
    <row r="9" ht="27.75" customHeight="1" s="13">
      <c r="A9" s="15" t="inlineStr">
        <is>
          <t>Tu sais que tu viens de… Louviers</t>
        </is>
      </c>
      <c r="B9" s="15" t="inlineStr">
        <is>
          <t>Louviers (27)</t>
        </is>
      </c>
      <c r="C9" s="15" t="inlineStr">
        <is>
          <t>Communauté de ville</t>
        </is>
      </c>
      <c r="D9" s="15" t="inlineStr">
        <is>
          <t>Non publié</t>
        </is>
      </c>
      <c r="E9" s="15" t="inlineStr">
        <is>
          <t>Rejoindre avec la Page, lire le règlement, écrire à l'admin avant de publier une seule annonce.</t>
        </is>
      </c>
      <c r="F9" s="20" t="inlineStr">
        <is>
          <t>Ouvrir</t>
        </is>
      </c>
      <c r="G9" s="20" t="inlineStr">
        <is>
          <t>Voir</t>
        </is>
      </c>
      <c r="H9" s="15" t="n"/>
      <c r="I9" s="15" t="n"/>
      <c r="J9" s="15" t="n"/>
    </row>
    <row r="10" ht="41.25" customHeight="1" s="13">
      <c r="A10" s="15" t="inlineStr">
        <is>
          <t>Tu sais que tu viens de… Bernay</t>
        </is>
      </c>
      <c r="B10" s="15" t="inlineStr">
        <is>
          <t>Bernay (27)</t>
        </is>
      </c>
      <c r="C10" s="15" t="inlineStr">
        <is>
          <t>Communauté de ville</t>
        </is>
      </c>
      <c r="D10" s="15" t="inlineStr">
        <is>
          <t>Non publié</t>
        </is>
      </c>
      <c r="E10" s="15" t="inlineStr">
        <is>
          <t>Rejoindre avec la Page, lire le règlement, écrire à l'admin avant de publier une seule annonce. Beaucoup de maisons avec jardin.</t>
        </is>
      </c>
      <c r="F10" s="20" t="inlineStr">
        <is>
          <t>Ouvrir</t>
        </is>
      </c>
      <c r="G10" s="20" t="inlineStr">
        <is>
          <t>Voir</t>
        </is>
      </c>
      <c r="H10" s="15" t="n"/>
      <c r="I10" s="15" t="n"/>
      <c r="J10" s="15" t="n"/>
    </row>
    <row r="11" ht="27.75" customHeight="1" s="13">
      <c r="A11" s="15" t="inlineStr">
        <is>
          <t>Tu sais que tu viens de… Le Neubourg</t>
        </is>
      </c>
      <c r="B11" s="15" t="inlineStr">
        <is>
          <t>Le Neubourg (27)</t>
        </is>
      </c>
      <c r="C11" s="15" t="inlineStr">
        <is>
          <t>Communauté de ville</t>
        </is>
      </c>
      <c r="D11" s="15" t="inlineStr">
        <is>
          <t>Non publié</t>
        </is>
      </c>
      <c r="E11" s="15" t="inlineStr">
        <is>
          <t>Rejoindre avec la Page, lire le règlement, écrire à l'admin avant de publier une seule annonce.</t>
        </is>
      </c>
      <c r="F11" s="20" t="inlineStr">
        <is>
          <t>Ouvrir</t>
        </is>
      </c>
      <c r="G11" s="20" t="inlineStr">
        <is>
          <t>Voir</t>
        </is>
      </c>
      <c r="H11" s="15" t="n"/>
      <c r="I11" s="15" t="n"/>
      <c r="J11" s="15" t="n"/>
    </row>
    <row r="12" ht="68.25" customHeight="1" s="13">
      <c r="A12" s="15" t="inlineStr">
        <is>
          <t>Tu sais que tu viens de… Dieppe</t>
        </is>
      </c>
      <c r="B12" s="15" t="inlineStr">
        <is>
          <t>Dieppe (76)</t>
        </is>
      </c>
      <c r="C12" s="15" t="inlineStr">
        <is>
          <t>Communauté de ville</t>
        </is>
      </c>
      <c r="D12" s="15" t="inlineStr">
        <is>
          <t>Non publié</t>
        </is>
      </c>
      <c r="E12" s="15" t="inlineStr">
        <is>
          <t>Vérifier qu'il est actif (source 2016). Rejoindre avec la Page, lire le règlement, écrire à l'admin avant de publier une seule annonce. (Lien relevé dans un article ici.fr de 2016 aujourd'hui indisponible ; source jointe : article ici.fr de 2019 sur le même réseau.)</t>
        </is>
      </c>
      <c r="F12" s="20" t="inlineStr">
        <is>
          <t>Ouvrir</t>
        </is>
      </c>
      <c r="G12" s="20" t="inlineStr">
        <is>
          <t>Voir</t>
        </is>
      </c>
      <c r="H12" s="15" t="n"/>
      <c r="I12" s="15" t="n"/>
      <c r="J12" s="15" t="n"/>
    </row>
    <row r="13" ht="68.25" customHeight="1" s="13">
      <c r="A13" s="15" t="inlineStr">
        <is>
          <t>Tu sais que tu viens de… Fécamp</t>
        </is>
      </c>
      <c r="B13" s="15" t="inlineStr">
        <is>
          <t>Fécamp (76)</t>
        </is>
      </c>
      <c r="C13" s="15" t="inlineStr">
        <is>
          <t>Communauté de ville</t>
        </is>
      </c>
      <c r="D13" s="15" t="inlineStr">
        <is>
          <t>Non publié</t>
        </is>
      </c>
      <c r="E13" s="15" t="inlineStr">
        <is>
          <t>Résidences secondaires du littoral. Rejoindre avec la Page, lire le règlement, écrire à l'admin avant de publier une seule annonce. (Lien relevé dans un article ici.fr de 2016 aujourd'hui indisponible ; source jointe : article ici.fr de 2019 sur le même réseau.)</t>
        </is>
      </c>
      <c r="F13" s="20" t="inlineStr">
        <is>
          <t>Ouvrir</t>
        </is>
      </c>
      <c r="G13" s="20" t="inlineStr">
        <is>
          <t>Voir</t>
        </is>
      </c>
      <c r="H13" s="15" t="n"/>
      <c r="I13" s="15" t="n"/>
      <c r="J13" s="15" t="n"/>
    </row>
    <row r="14" ht="54.75" customHeight="1" s="13">
      <c r="A14" s="15" t="inlineStr">
        <is>
          <t>Tu sais que tu viens de… Yvetot</t>
        </is>
      </c>
      <c r="B14" s="15" t="inlineStr">
        <is>
          <t>Yvetot (76)</t>
        </is>
      </c>
      <c r="C14" s="15" t="inlineStr">
        <is>
          <t>Communauté de ville</t>
        </is>
      </c>
      <c r="D14" s="15" t="inlineStr">
        <is>
          <t>Non publié</t>
        </is>
      </c>
      <c r="E14" s="15" t="inlineStr">
        <is>
          <t>Rejoindre avec la Page, lire le règlement, écrire à l'admin avant de publier une seule annonce. (Lien relevé dans un article ici.fr de 2016 aujourd'hui indisponible ; source jointe : article ici.fr de 2019 sur le même réseau.)</t>
        </is>
      </c>
      <c r="F14" s="20" t="inlineStr">
        <is>
          <t>Ouvrir</t>
        </is>
      </c>
      <c r="G14" s="20" t="inlineStr">
        <is>
          <t>Voir</t>
        </is>
      </c>
      <c r="H14" s="15" t="n"/>
      <c r="I14" s="15" t="n"/>
      <c r="J14" s="15" t="n"/>
    </row>
    <row r="15" ht="54.75" customHeight="1" s="13">
      <c r="A15" s="15" t="inlineStr">
        <is>
          <t>Tu sais que tu viens de… Barentin</t>
        </is>
      </c>
      <c r="B15" s="15" t="inlineStr">
        <is>
          <t>Barentin (76)</t>
        </is>
      </c>
      <c r="C15" s="15" t="inlineStr">
        <is>
          <t>Communauté de ville</t>
        </is>
      </c>
      <c r="D15" s="15" t="inlineStr">
        <is>
          <t>Non publié</t>
        </is>
      </c>
      <c r="E15" s="15" t="inlineStr">
        <is>
          <t>Rejoindre avec la Page, lire le règlement, écrire à l'admin avant de publier une seule annonce. (Lien relevé dans un article ici.fr de 2016 aujourd'hui indisponible ; source jointe : article ici.fr de 2019 sur le même réseau.)</t>
        </is>
      </c>
      <c r="F15" s="20" t="inlineStr">
        <is>
          <t>Ouvrir</t>
        </is>
      </c>
      <c r="G15" s="20" t="inlineStr">
        <is>
          <t>Voir</t>
        </is>
      </c>
      <c r="H15" s="15" t="n"/>
      <c r="I15" s="15" t="n"/>
      <c r="J15" s="15" t="n"/>
    </row>
    <row r="16" ht="54.75" customHeight="1" s="13">
      <c r="A16" s="15" t="inlineStr">
        <is>
          <t>Tu sais que tu viens de… Bolbec</t>
        </is>
      </c>
      <c r="B16" s="15" t="inlineStr">
        <is>
          <t>Bolbec (76)</t>
        </is>
      </c>
      <c r="C16" s="15" t="inlineStr">
        <is>
          <t>Communauté de ville</t>
        </is>
      </c>
      <c r="D16" s="15" t="inlineStr">
        <is>
          <t>Non publié</t>
        </is>
      </c>
      <c r="E16" s="15" t="inlineStr">
        <is>
          <t>Rejoindre avec la Page, lire le règlement, écrire à l'admin avant de publier une seule annonce. (Lien relevé dans un article ici.fr de 2016 aujourd'hui indisponible ; source jointe : article ici.fr de 2019 sur le même réseau.)</t>
        </is>
      </c>
      <c r="F16" s="20" t="inlineStr">
        <is>
          <t>Ouvrir</t>
        </is>
      </c>
      <c r="G16" s="20" t="inlineStr">
        <is>
          <t>Voir</t>
        </is>
      </c>
      <c r="H16" s="15" t="n"/>
      <c r="I16" s="15" t="n"/>
      <c r="J16" s="15" t="n"/>
    </row>
    <row r="17" ht="54.75" customHeight="1" s="13">
      <c r="A17" s="15" t="inlineStr">
        <is>
          <t>Tu sais que tu viens de… Pavilly</t>
        </is>
      </c>
      <c r="B17" s="15" t="inlineStr">
        <is>
          <t>Pavilly (76)</t>
        </is>
      </c>
      <c r="C17" s="15" t="inlineStr">
        <is>
          <t>Communauté de ville</t>
        </is>
      </c>
      <c r="D17" s="15" t="inlineStr">
        <is>
          <t>Non publié</t>
        </is>
      </c>
      <c r="E17" s="15" t="inlineStr">
        <is>
          <t>Rejoindre avec la Page, lire le règlement, écrire à l'admin avant de publier une seule annonce. (Lien relevé dans un article ici.fr de 2016 aujourd'hui indisponible ; source jointe : article ici.fr de 2019 sur le même réseau.)</t>
        </is>
      </c>
      <c r="F17" s="20" t="inlineStr">
        <is>
          <t>Ouvrir</t>
        </is>
      </c>
      <c r="G17" s="20" t="inlineStr">
        <is>
          <t>Voir</t>
        </is>
      </c>
      <c r="H17" s="15" t="n"/>
      <c r="I17" s="15" t="n"/>
      <c r="J17" s="15" t="n"/>
    </row>
    <row r="18" ht="54.75" customHeight="1" s="13">
      <c r="A18" s="15" t="inlineStr">
        <is>
          <t>Tu sais que tu viens de… Lillebonne</t>
        </is>
      </c>
      <c r="B18" s="15" t="inlineStr">
        <is>
          <t>Lillebonne (76)</t>
        </is>
      </c>
      <c r="C18" s="15" t="inlineStr">
        <is>
          <t>Communauté de ville</t>
        </is>
      </c>
      <c r="D18" s="15" t="inlineStr">
        <is>
          <t>Non publié</t>
        </is>
      </c>
      <c r="E18" s="15" t="inlineStr">
        <is>
          <t>Rejoindre avec la Page, lire le règlement, écrire à l'admin avant de publier une seule annonce. (Lien relevé dans un article ici.fr de 2016 aujourd'hui indisponible ; source jointe : article ici.fr de 2019 sur le même réseau.)</t>
        </is>
      </c>
      <c r="F18" s="20" t="inlineStr">
        <is>
          <t>Ouvrir</t>
        </is>
      </c>
      <c r="G18" s="20" t="inlineStr">
        <is>
          <t>Voir</t>
        </is>
      </c>
      <c r="H18" s="15" t="n"/>
      <c r="I18" s="15" t="n"/>
      <c r="J18" s="15" t="n"/>
    </row>
    <row r="19" ht="68.25" customHeight="1" s="13">
      <c r="A19" s="15" t="inlineStr">
        <is>
          <t>Tu sais que tu viens de… Notre-Dame-de-Gravenchon</t>
        </is>
      </c>
      <c r="B19" s="15" t="inlineStr">
        <is>
          <t>Port-Jérôme-sur-Seine (76)</t>
        </is>
      </c>
      <c r="C19" s="15" t="inlineStr">
        <is>
          <t>Communauté de ville</t>
        </is>
      </c>
      <c r="D19" s="15" t="inlineStr">
        <is>
          <t>Non publié</t>
        </is>
      </c>
      <c r="E19" s="15" t="inlineStr">
        <is>
          <t>Petit groupe, priorité basse. Rejoindre avec la Page, lire le règlement, écrire à l'admin avant de publier une seule annonce. (Lien relevé dans un article ici.fr de 2016 aujourd'hui indisponible ; source jointe : article ici.fr de 2019 sur le même réseau.)</t>
        </is>
      </c>
      <c r="F19" s="20" t="inlineStr">
        <is>
          <t>Ouvrir</t>
        </is>
      </c>
      <c r="G19" s="20" t="inlineStr">
        <is>
          <t>Voir</t>
        </is>
      </c>
      <c r="H19" s="15" t="n"/>
      <c r="I19" s="15" t="n"/>
      <c r="J19" s="15" t="n"/>
    </row>
    <row r="20" ht="68.25" customHeight="1" s="13">
      <c r="A20" s="15" t="inlineStr">
        <is>
          <t>Tu sais que tu viens de… Saint-Romain-de-Colbosc</t>
        </is>
      </c>
      <c r="B20" s="15" t="inlineStr">
        <is>
          <t>Saint-Romain-de-Colbosc (76)</t>
        </is>
      </c>
      <c r="C20" s="15" t="inlineStr">
        <is>
          <t>Communauté de ville</t>
        </is>
      </c>
      <c r="D20" s="15" t="inlineStr">
        <is>
          <t>Non publié</t>
        </is>
      </c>
      <c r="E20" s="15" t="inlineStr">
        <is>
          <t>Petit groupe, priorité basse. Rejoindre avec la Page, lire le règlement, écrire à l'admin avant de publier une seule annonce. (Lien relevé dans un article ici.fr de 2016 aujourd'hui indisponible ; source jointe : article ici.fr de 2019 sur le même réseau.)</t>
        </is>
      </c>
      <c r="F20" s="20" t="inlineStr">
        <is>
          <t>Ouvrir</t>
        </is>
      </c>
      <c r="G20" s="20" t="inlineStr">
        <is>
          <t>Voir</t>
        </is>
      </c>
      <c r="H20" s="15" t="n"/>
      <c r="I20" s="15" t="n"/>
      <c r="J20" s="15" t="n"/>
    </row>
    <row r="21" ht="41.25" customHeight="1" s="13">
      <c r="A21" s="15" t="inlineStr">
        <is>
          <t>Groupe de la ville de Rueil-Malmaison</t>
        </is>
      </c>
      <c r="B21" s="15" t="inlineStr">
        <is>
          <t>Rueil-Malmaison (92)</t>
        </is>
      </c>
      <c r="C21" s="15" t="inlineStr">
        <is>
          <t>Communauté de ville</t>
        </is>
      </c>
      <c r="D21" s="15" t="inlineStr">
        <is>
          <t>12 000+ (ici.fr, 2024)</t>
        </is>
      </c>
      <c r="E21" s="15" t="inlineStr">
        <is>
          <t>Prioritaire Île-de-France : les commerçants y publient déjà. Rejoindre avec la Page, lire le règlement, écrire à l'admin avant de publier une seule annonce.</t>
        </is>
      </c>
      <c r="F21" s="20" t="inlineStr">
        <is>
          <t>Ouvrir</t>
        </is>
      </c>
      <c r="G21" s="20" t="inlineStr">
        <is>
          <t>Voir</t>
        </is>
      </c>
      <c r="H21" s="15" t="n"/>
      <c r="I21" s="15" t="n"/>
      <c r="J21" s="15" t="n"/>
    </row>
    <row r="22" ht="27.75" customHeight="1" s="13">
      <c r="A22" s="15" t="inlineStr">
        <is>
          <t>Groupe de quartier Vallée de Fécamp / Picpus</t>
        </is>
      </c>
      <c r="B22" s="15" t="inlineStr">
        <is>
          <t>Paris 12e</t>
        </is>
      </c>
      <c r="C22" s="15" t="inlineStr">
        <is>
          <t>Communauté de ville</t>
        </is>
      </c>
      <c r="D22" s="15" t="inlineStr">
        <is>
          <t>Non publié</t>
        </is>
      </c>
      <c r="E22" s="15" t="inlineStr">
        <is>
          <t>Priorité basse (surtout des appartements). Seulement si le règlement accepte les pros.</t>
        </is>
      </c>
      <c r="F22" s="20" t="inlineStr">
        <is>
          <t>Ouvrir</t>
        </is>
      </c>
      <c r="G22" s="20" t="inlineStr">
        <is>
          <t>Voir</t>
        </is>
      </c>
      <c r="H22" s="15" t="n"/>
      <c r="I22" s="15" t="n"/>
      <c r="J22" s="15" t="n"/>
    </row>
    <row r="23" ht="41.25" customHeight="1" s="13">
      <c r="A23" s="15" t="inlineStr">
        <is>
          <t>Artisans et Auto-entrepreneurs</t>
        </is>
      </c>
      <c r="B23" s="15" t="inlineStr">
        <is>
          <t>France (B2B)</t>
        </is>
      </c>
      <c r="C23" s="15" t="inlineStr">
        <is>
          <t>Groupe pro</t>
        </is>
      </c>
      <c r="D23" s="15" t="inlineStr">
        <is>
          <t>~5 400, privé (2023)</t>
        </is>
      </c>
      <c r="E23" s="15" t="inlineStr">
        <is>
          <t>Groupe privé (~5 400, 2023). Vérifier qu'il est réservé aux pros avant d'y publier le prix pro. Se présenter comme fournisseur ; pas de démarchage en message privé.</t>
        </is>
      </c>
      <c r="F23" s="20" t="inlineStr">
        <is>
          <t>Ouvrir</t>
        </is>
      </c>
      <c r="G23" s="20" t="inlineStr">
        <is>
          <t>Voir</t>
        </is>
      </c>
      <c r="H23" s="15" t="n"/>
      <c r="I23" s="15" t="n"/>
      <c r="J23" s="15" t="n"/>
    </row>
    <row r="24" ht="81.75" customHeight="1" s="13">
      <c r="A24" s="15" t="inlineStr">
        <is>
          <t>• Liens et effectifs viennent d'articles de presse (2016–2024) : vérifiez que chaque groupe existe toujours, son nom exact et son règlement une fois connecté.</t>
        </is>
      </c>
      <c r="B24" s="15" t="n"/>
      <c r="C24" s="15" t="n"/>
      <c r="D24" s="15" t="n"/>
      <c r="E24" s="15" t="n"/>
      <c r="F24" s="15" t="n"/>
      <c r="G24" s="15" t="n"/>
      <c r="H24" s="15" t="n"/>
      <c r="I24" s="15" t="n"/>
      <c r="J24" s="15" t="n"/>
    </row>
    <row r="25" ht="81.75" customHeight="1" s="13">
      <c r="A25" s="15" t="inlineStr">
        <is>
          <t>• Une Page ne peut que demander à rejoindre un groupe ; si les Pages ne sont pas admises, demandez à l'admin comment un professionnel peut publier.</t>
        </is>
      </c>
      <c r="B25" s="15" t="n"/>
      <c r="C25" s="15" t="n"/>
      <c r="D25" s="15" t="n"/>
      <c r="E25" s="15" t="n"/>
      <c r="F25" s="15" t="n"/>
      <c r="G25" s="15" t="n"/>
      <c r="H25" s="15" t="n"/>
      <c r="I25" s="15" t="n"/>
      <c r="J25" s="15" t="n"/>
    </row>
    <row r="26" ht="149.25" customHeight="1" s="13">
      <c r="A26" s="15" t="inlineStr">
        <is>
          <t>• En dehors de VendezVosMateriaux.fr et LES PRO DU BÂTIMENT, aucun groupe thématique (piscine, jardin, déstockage) ni groupe de Gennevilliers, du 95, du 78 ou du 93 n'a pu être confirmé : cherchez-les vous-même dans Facebook avec « travaux maison 92 », « piscine Île-de-France », « bons plans matériaux ».</t>
        </is>
      </c>
      <c r="B26" s="15" t="n"/>
      <c r="C26" s="15" t="n"/>
      <c r="D26" s="15" t="n"/>
      <c r="E26" s="15" t="n"/>
      <c r="F26" s="15" t="n"/>
      <c r="G26" s="15" t="n"/>
      <c r="H26" s="15" t="n"/>
      <c r="I26" s="15" t="n"/>
      <c r="J26" s="15" t="n"/>
    </row>
    <row r="27" ht="54.75" customHeight="1" s="13">
      <c r="A27" s="15" t="inlineStr">
        <is>
          <t>• Jamais d'extraction de membres ni de messages privés non sollicités aux membres (RGPD et règles de Facebook).</t>
        </is>
      </c>
      <c r="B27" s="15" t="n"/>
      <c r="C27" s="15" t="n"/>
      <c r="D27" s="15" t="n"/>
      <c r="E27" s="15" t="n"/>
      <c r="F27" s="15" t="n"/>
      <c r="G27" s="15" t="n"/>
      <c r="H27" s="15" t="n"/>
      <c r="I27" s="15" t="n"/>
      <c r="J27" s="15" t="n"/>
    </row>
  </sheetData>
  <hyperlinks>
    <hyperlink xmlns:r="http://schemas.openxmlformats.org/officeDocument/2006/relationships" ref="F4" display="Ouvrir" r:id="rId1"/>
    <hyperlink xmlns:r="http://schemas.openxmlformats.org/officeDocument/2006/relationships" ref="G4" display="Voir" r:id="rId2"/>
    <hyperlink xmlns:r="http://schemas.openxmlformats.org/officeDocument/2006/relationships" ref="G5" display="Voir" r:id="rId3"/>
    <hyperlink xmlns:r="http://schemas.openxmlformats.org/officeDocument/2006/relationships" ref="F6" display="Ouvrir" r:id="rId4"/>
    <hyperlink xmlns:r="http://schemas.openxmlformats.org/officeDocument/2006/relationships" ref="G6" display="Voir" r:id="rId5"/>
    <hyperlink xmlns:r="http://schemas.openxmlformats.org/officeDocument/2006/relationships" ref="F7" display="Ouvrir" r:id="rId6"/>
    <hyperlink xmlns:r="http://schemas.openxmlformats.org/officeDocument/2006/relationships" ref="G7" display="Voir" r:id="rId7"/>
    <hyperlink xmlns:r="http://schemas.openxmlformats.org/officeDocument/2006/relationships" ref="F8" display="Ouvrir" r:id="rId8"/>
    <hyperlink xmlns:r="http://schemas.openxmlformats.org/officeDocument/2006/relationships" ref="G8" display="Voir" r:id="rId9"/>
    <hyperlink xmlns:r="http://schemas.openxmlformats.org/officeDocument/2006/relationships" ref="F9" display="Ouvrir" r:id="rId10"/>
    <hyperlink xmlns:r="http://schemas.openxmlformats.org/officeDocument/2006/relationships" ref="G9" display="Voir" r:id="rId11"/>
    <hyperlink xmlns:r="http://schemas.openxmlformats.org/officeDocument/2006/relationships" ref="F10" display="Ouvrir" r:id="rId12"/>
    <hyperlink xmlns:r="http://schemas.openxmlformats.org/officeDocument/2006/relationships" ref="G10" display="Voir" r:id="rId13"/>
    <hyperlink xmlns:r="http://schemas.openxmlformats.org/officeDocument/2006/relationships" ref="F11" display="Ouvrir" r:id="rId14"/>
    <hyperlink xmlns:r="http://schemas.openxmlformats.org/officeDocument/2006/relationships" ref="G11" display="Voir" r:id="rId15"/>
    <hyperlink xmlns:r="http://schemas.openxmlformats.org/officeDocument/2006/relationships" ref="F12" display="Ouvrir" r:id="rId16"/>
    <hyperlink xmlns:r="http://schemas.openxmlformats.org/officeDocument/2006/relationships" ref="G12" display="Voir" r:id="rId17"/>
    <hyperlink xmlns:r="http://schemas.openxmlformats.org/officeDocument/2006/relationships" ref="F13" display="Ouvrir" r:id="rId18"/>
    <hyperlink xmlns:r="http://schemas.openxmlformats.org/officeDocument/2006/relationships" ref="G13" display="Voir" r:id="rId19"/>
    <hyperlink xmlns:r="http://schemas.openxmlformats.org/officeDocument/2006/relationships" ref="F14" display="Ouvrir" r:id="rId20"/>
    <hyperlink xmlns:r="http://schemas.openxmlformats.org/officeDocument/2006/relationships" ref="G14" display="Voir" r:id="rId21"/>
    <hyperlink xmlns:r="http://schemas.openxmlformats.org/officeDocument/2006/relationships" ref="F15" display="Ouvrir" r:id="rId22"/>
    <hyperlink xmlns:r="http://schemas.openxmlformats.org/officeDocument/2006/relationships" ref="G15" display="Voir" r:id="rId23"/>
    <hyperlink xmlns:r="http://schemas.openxmlformats.org/officeDocument/2006/relationships" ref="F16" display="Ouvrir" r:id="rId24"/>
    <hyperlink xmlns:r="http://schemas.openxmlformats.org/officeDocument/2006/relationships" ref="G16" display="Voir" r:id="rId25"/>
    <hyperlink xmlns:r="http://schemas.openxmlformats.org/officeDocument/2006/relationships" ref="F17" display="Ouvrir" r:id="rId26"/>
    <hyperlink xmlns:r="http://schemas.openxmlformats.org/officeDocument/2006/relationships" ref="G17" display="Voir" r:id="rId27"/>
    <hyperlink xmlns:r="http://schemas.openxmlformats.org/officeDocument/2006/relationships" ref="F18" display="Ouvrir" r:id="rId28"/>
    <hyperlink xmlns:r="http://schemas.openxmlformats.org/officeDocument/2006/relationships" ref="G18" display="Voir" r:id="rId29"/>
    <hyperlink xmlns:r="http://schemas.openxmlformats.org/officeDocument/2006/relationships" ref="F19" display="Ouvrir" r:id="rId30"/>
    <hyperlink xmlns:r="http://schemas.openxmlformats.org/officeDocument/2006/relationships" ref="G19" display="Voir" r:id="rId31"/>
    <hyperlink xmlns:r="http://schemas.openxmlformats.org/officeDocument/2006/relationships" ref="F20" display="Ouvrir" r:id="rId32"/>
    <hyperlink xmlns:r="http://schemas.openxmlformats.org/officeDocument/2006/relationships" ref="G20" display="Voir" r:id="rId33"/>
    <hyperlink xmlns:r="http://schemas.openxmlformats.org/officeDocument/2006/relationships" ref="F21" display="Ouvrir" r:id="rId34"/>
    <hyperlink xmlns:r="http://schemas.openxmlformats.org/officeDocument/2006/relationships" ref="G21" display="Voir" r:id="rId35"/>
    <hyperlink xmlns:r="http://schemas.openxmlformats.org/officeDocument/2006/relationships" ref="F22" display="Ouvrir" r:id="rId36"/>
    <hyperlink xmlns:r="http://schemas.openxmlformats.org/officeDocument/2006/relationships" ref="G22" display="Voir" r:id="rId37"/>
    <hyperlink xmlns:r="http://schemas.openxmlformats.org/officeDocument/2006/relationships" ref="F23" display="Ouvrir" r:id="rId38"/>
    <hyperlink xmlns:r="http://schemas.openxmlformats.org/officeDocument/2006/relationships" ref="G23" display="Voir" r:id="rId3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50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2" min="1" max="1"/>
    <col width="30" customWidth="1" style="12" min="2" max="2"/>
    <col width="18" customWidth="1" style="12" min="3" max="3"/>
    <col width="12" customWidth="1" style="12" min="4" max="4"/>
    <col width="22" customWidth="1" style="12" min="5" max="5"/>
    <col width="16" customWidth="1" style="12" min="6" max="6"/>
    <col width="24" customWidth="1" style="12" min="7" max="7"/>
    <col width="50" customWidth="1" style="12" min="8" max="8"/>
  </cols>
  <sheetData>
    <row r="1" ht="27.75" customHeight="1" s="13">
      <c r="A1" s="19" t="inlineStr">
        <is>
          <t>Date</t>
        </is>
      </c>
      <c r="B1" s="19" t="inlineStr">
        <is>
          <t>Source (Leboncoin, AlloVoisins, Instagram…)</t>
        </is>
      </c>
      <c r="C1" s="19" t="inlineStr">
        <is>
          <t>Ville</t>
        </is>
      </c>
      <c r="D1" s="19" t="inlineStr">
        <is>
          <t>Surface (m²)</t>
        </is>
      </c>
      <c r="E1" s="19" t="inlineStr">
        <is>
          <t>Usage</t>
        </is>
      </c>
      <c r="F1" s="19" t="inlineStr">
        <is>
          <t>Statut</t>
        </is>
      </c>
      <c r="G1" s="19" t="inlineStr">
        <is>
          <t>Prochaine action</t>
        </is>
      </c>
      <c r="H1" s="19" t="inlineStr">
        <is>
          <t>Notes (sans téléphone, e-mail ni adresse)</t>
        </is>
      </c>
    </row>
    <row r="2" ht="30" customHeight="1" s="13">
      <c r="A2" s="15" t="inlineStr">
        <is>
          <t>Une ligne par demande de particulier. Ne notez pas ses coordonnées : elles restent dans la messagerie de la plateforme ou sur la facture.</t>
        </is>
      </c>
    </row>
    <row r="3" ht="15" customHeight="1" s="13">
      <c r="A3" s="12" t="inlineStr">
        <is>
          <t>13/10/2026</t>
        </is>
      </c>
      <c r="B3" s="12" t="inlineStr">
        <is>
          <t>AlloVoisins</t>
        </is>
      </c>
      <c r="C3" s="12" t="inlineStr">
        <is>
          <t>À préciser</t>
        </is>
      </c>
      <c r="D3" s="12" t="n">
        <v>72</v>
      </c>
      <c r="E3" s="12" t="inlineStr">
        <is>
          <t>Terrasse (Patrick)</t>
        </is>
      </c>
      <c r="F3" s="12" t="inlineStr">
        <is>
          <t>À qualifier</t>
        </is>
      </c>
      <c r="G3" s="12" t="inlineStr">
        <is>
          <t>Confirmer s'il cherche aussi la pierre (pas seulement un poseur) avant toute réponse</t>
        </is>
      </c>
      <c r="H3" s="12" t="inlineStr">
        <is>
          <t>Réponse impossible sans Premier/essai ; voir allovoisins.md</t>
        </is>
      </c>
    </row>
    <row r="4" ht="15" customHeight="1" s="13">
      <c r="A4" s="12" t="inlineStr">
        <is>
          <t>13/10/2026</t>
        </is>
      </c>
      <c r="B4" s="12" t="inlineStr">
        <is>
          <t>AlloVoisins</t>
        </is>
      </c>
      <c r="C4" s="12" t="inlineStr">
        <is>
          <t>Tremblay-en-France (93)</t>
        </is>
      </c>
      <c r="E4" s="12" t="inlineStr">
        <is>
          <t>À préciser (Francis)</t>
        </is>
      </c>
      <c r="F4" s="12" t="inlineStr">
        <is>
          <t>À qualifier</t>
        </is>
      </c>
      <c r="G4" s="12" t="inlineStr">
        <is>
          <t>Confirmer le besoin en fourniture de pierre</t>
        </is>
      </c>
      <c r="H4" s="12" t="inlineStr">
        <is>
          <t>Réponse impossible sans Premier/essai</t>
        </is>
      </c>
    </row>
    <row r="5" ht="15" customHeight="1" s="13">
      <c r="A5" s="12" t="inlineStr">
        <is>
          <t>13/10/2026</t>
        </is>
      </c>
      <c r="B5" s="12" t="inlineStr">
        <is>
          <t>AlloVoisins</t>
        </is>
      </c>
      <c r="C5" s="12" t="inlineStr">
        <is>
          <t>Garches (92)</t>
        </is>
      </c>
      <c r="E5" s="12" t="inlineStr">
        <is>
          <t>À préciser (Sandra)</t>
        </is>
      </c>
      <c r="F5" s="12" t="inlineStr">
        <is>
          <t>À qualifier</t>
        </is>
      </c>
      <c r="G5" s="12" t="inlineStr">
        <is>
          <t>Confirmer le besoin en fourniture de pierre</t>
        </is>
      </c>
      <c r="H5" s="12" t="inlineStr">
        <is>
          <t>Réponse impossible sans Premier/essai</t>
        </is>
      </c>
    </row>
    <row r="6" ht="15" customHeight="1" s="13">
      <c r="F6" s="12" t="n"/>
    </row>
    <row r="7" ht="15" customHeight="1" s="13">
      <c r="F7" s="12" t="n"/>
    </row>
    <row r="8" ht="15" customHeight="1" s="13">
      <c r="F8" s="12" t="n"/>
    </row>
    <row r="9" ht="15" customHeight="1" s="13">
      <c r="F9" s="12" t="n"/>
    </row>
    <row r="10" ht="15" customHeight="1" s="13">
      <c r="F10" s="12" t="n"/>
    </row>
    <row r="11" ht="15" customHeight="1" s="13">
      <c r="F11" s="12" t="n"/>
    </row>
    <row r="12" ht="15" customHeight="1" s="13">
      <c r="F12" s="12" t="n"/>
    </row>
    <row r="13" ht="15" customHeight="1" s="13">
      <c r="F13" s="12" t="n"/>
    </row>
    <row r="14" ht="15" customHeight="1" s="13">
      <c r="F14" s="12" t="n"/>
    </row>
    <row r="15" ht="15" customHeight="1" s="13">
      <c r="F15" s="12" t="n"/>
    </row>
    <row r="16" ht="15" customHeight="1" s="13">
      <c r="F16" s="12" t="n"/>
    </row>
    <row r="17" ht="15" customHeight="1" s="13">
      <c r="F17" s="12" t="n"/>
    </row>
    <row r="18" ht="15" customHeight="1" s="13">
      <c r="F18" s="12" t="n"/>
    </row>
    <row r="19" ht="15" customHeight="1" s="13">
      <c r="F19" s="12" t="n"/>
    </row>
    <row r="20" ht="15" customHeight="1" s="13">
      <c r="F20" s="12" t="n"/>
    </row>
    <row r="21" ht="15" customHeight="1" s="13">
      <c r="F21" s="12" t="n"/>
    </row>
    <row r="22" ht="15" customHeight="1" s="13">
      <c r="F22" s="12" t="n"/>
    </row>
    <row r="23" ht="15" customHeight="1" s="13">
      <c r="F23" s="12" t="n"/>
    </row>
    <row r="24" ht="15" customHeight="1" s="13">
      <c r="F24" s="12" t="n"/>
    </row>
    <row r="25" ht="15" customHeight="1" s="13">
      <c r="F25" s="12" t="n"/>
    </row>
    <row r="26" ht="15" customHeight="1" s="13">
      <c r="F26" s="12" t="n"/>
    </row>
    <row r="27" ht="15" customHeight="1" s="13">
      <c r="F27" s="12" t="n"/>
    </row>
    <row r="28" ht="15" customHeight="1" s="13">
      <c r="F28" s="12" t="n"/>
    </row>
    <row r="29" ht="15" customHeight="1" s="13">
      <c r="F29" s="12" t="n"/>
    </row>
    <row r="30" ht="15" customHeight="1" s="13">
      <c r="F30" s="12" t="n"/>
    </row>
    <row r="31" ht="15" customHeight="1" s="13">
      <c r="F31" s="12" t="n"/>
    </row>
    <row r="32" ht="15" customHeight="1" s="13">
      <c r="F32" s="12" t="n"/>
    </row>
    <row r="33" ht="15" customHeight="1" s="13">
      <c r="F33" s="12" t="n"/>
    </row>
    <row r="34" ht="15" customHeight="1" s="13">
      <c r="F34" s="12" t="n"/>
    </row>
    <row r="35" ht="15" customHeight="1" s="13">
      <c r="F35" s="12" t="n"/>
    </row>
    <row r="36" ht="15" customHeight="1" s="13">
      <c r="F36" s="12" t="n"/>
    </row>
    <row r="37" ht="15" customHeight="1" s="13">
      <c r="F37" s="12" t="n"/>
    </row>
    <row r="38" ht="15" customHeight="1" s="13">
      <c r="F38" s="12" t="n"/>
    </row>
    <row r="39" ht="15" customHeight="1" s="13">
      <c r="F39" s="12" t="n"/>
    </row>
    <row r="40" ht="15" customHeight="1" s="13">
      <c r="F40" s="12" t="n"/>
    </row>
    <row r="41" ht="15" customHeight="1" s="13">
      <c r="F41" s="12" t="n"/>
    </row>
    <row r="42" ht="15" customHeight="1" s="13">
      <c r="F42" s="12" t="n"/>
    </row>
    <row r="43" ht="15" customHeight="1" s="13">
      <c r="F43" s="12" t="n"/>
    </row>
    <row r="44" ht="15" customHeight="1" s="13">
      <c r="F44" s="12" t="n"/>
    </row>
    <row r="45" ht="15" customHeight="1" s="13">
      <c r="F45" s="12" t="n"/>
    </row>
    <row r="46" ht="15" customHeight="1" s="13">
      <c r="F46" s="12" t="n"/>
    </row>
    <row r="47" ht="15" customHeight="1" s="13">
      <c r="F47" s="12" t="n"/>
    </row>
    <row r="48" ht="15" customHeight="1" s="13">
      <c r="F48" s="12" t="n"/>
    </row>
    <row r="49" ht="15" customHeight="1" s="13">
      <c r="F49" s="12" t="n"/>
    </row>
    <row r="50" ht="15" customHeight="1" s="13">
      <c r="F50" s="12" t="n"/>
    </row>
    <row r="51" ht="15" customHeight="1" s="13">
      <c r="F51" s="12" t="n"/>
    </row>
    <row r="52" ht="15" customHeight="1" s="13">
      <c r="F52" s="12" t="n"/>
    </row>
    <row r="53" ht="15" customHeight="1" s="13">
      <c r="F53" s="12" t="n"/>
    </row>
    <row r="54" ht="15" customHeight="1" s="13">
      <c r="F54" s="12" t="n"/>
    </row>
    <row r="55" ht="15" customHeight="1" s="13">
      <c r="F55" s="12" t="n"/>
    </row>
    <row r="56" ht="15" customHeight="1" s="13">
      <c r="F56" s="12" t="n"/>
    </row>
    <row r="57" ht="15" customHeight="1" s="13">
      <c r="F57" s="12" t="n"/>
    </row>
    <row r="58" ht="15" customHeight="1" s="13">
      <c r="F58" s="12" t="n"/>
    </row>
    <row r="59" ht="15" customHeight="1" s="13">
      <c r="F59" s="12" t="n"/>
    </row>
    <row r="60" ht="15" customHeight="1" s="13">
      <c r="F60" s="12" t="n"/>
    </row>
    <row r="61" ht="15" customHeight="1" s="13">
      <c r="F61" s="12" t="n"/>
    </row>
    <row r="62" ht="15" customHeight="1" s="13">
      <c r="F62" s="12" t="n"/>
    </row>
    <row r="63" ht="15" customHeight="1" s="13">
      <c r="F63" s="12" t="n"/>
    </row>
    <row r="64" ht="15" customHeight="1" s="13">
      <c r="F64" s="12" t="n"/>
    </row>
    <row r="65" ht="15" customHeight="1" s="13">
      <c r="F65" s="12" t="n"/>
    </row>
    <row r="66" ht="15" customHeight="1" s="13">
      <c r="F66" s="12" t="n"/>
    </row>
    <row r="67" ht="15" customHeight="1" s="13">
      <c r="F67" s="12" t="n"/>
    </row>
    <row r="68" ht="15" customHeight="1" s="13">
      <c r="F68" s="12" t="n"/>
    </row>
    <row r="69" ht="15" customHeight="1" s="13">
      <c r="F69" s="12" t="n"/>
    </row>
    <row r="70" ht="15" customHeight="1" s="13">
      <c r="F70" s="12" t="n"/>
    </row>
    <row r="71" ht="15" customHeight="1" s="13">
      <c r="F71" s="12" t="n"/>
    </row>
    <row r="72" ht="15" customHeight="1" s="13">
      <c r="F72" s="12" t="n"/>
    </row>
    <row r="73" ht="15" customHeight="1" s="13">
      <c r="F73" s="12" t="n"/>
    </row>
    <row r="74" ht="15" customHeight="1" s="13">
      <c r="F74" s="12" t="n"/>
    </row>
    <row r="75" ht="15" customHeight="1" s="13">
      <c r="F75" s="12" t="n"/>
    </row>
    <row r="76" ht="15" customHeight="1" s="13">
      <c r="F76" s="12" t="n"/>
    </row>
    <row r="77" ht="15" customHeight="1" s="13">
      <c r="F77" s="12" t="n"/>
    </row>
    <row r="78" ht="15" customHeight="1" s="13">
      <c r="F78" s="12" t="n"/>
    </row>
    <row r="79" ht="15" customHeight="1" s="13">
      <c r="F79" s="12" t="n"/>
    </row>
    <row r="80" ht="15" customHeight="1" s="13">
      <c r="F80" s="12" t="n"/>
    </row>
    <row r="81" ht="15" customHeight="1" s="13">
      <c r="F81" s="12" t="n"/>
    </row>
    <row r="82" ht="15" customHeight="1" s="13">
      <c r="F82" s="12" t="n"/>
    </row>
    <row r="83" ht="15" customHeight="1" s="13">
      <c r="F83" s="12" t="n"/>
    </row>
    <row r="84" ht="15" customHeight="1" s="13">
      <c r="F84" s="12" t="n"/>
    </row>
    <row r="85" ht="15" customHeight="1" s="13">
      <c r="F85" s="12" t="n"/>
    </row>
    <row r="86" ht="15" customHeight="1" s="13">
      <c r="F86" s="12" t="n"/>
    </row>
    <row r="87" ht="15" customHeight="1" s="13">
      <c r="F87" s="12" t="n"/>
    </row>
    <row r="88" ht="15" customHeight="1" s="13">
      <c r="F88" s="12" t="n"/>
    </row>
    <row r="89" ht="15" customHeight="1" s="13">
      <c r="F89" s="12" t="n"/>
    </row>
    <row r="90" ht="15" customHeight="1" s="13">
      <c r="F90" s="12" t="n"/>
    </row>
    <row r="91" ht="15" customHeight="1" s="13">
      <c r="F91" s="12" t="n"/>
    </row>
    <row r="92" ht="15" customHeight="1" s="13">
      <c r="F92" s="12" t="n"/>
    </row>
    <row r="93" ht="15" customHeight="1" s="13">
      <c r="F93" s="12" t="n"/>
    </row>
    <row r="94" ht="15" customHeight="1" s="13">
      <c r="F94" s="12" t="n"/>
    </row>
    <row r="95" ht="15" customHeight="1" s="13">
      <c r="F95" s="12" t="n"/>
    </row>
    <row r="96" ht="15" customHeight="1" s="13">
      <c r="F96" s="12" t="n"/>
    </row>
    <row r="97" ht="15" customHeight="1" s="13">
      <c r="F97" s="12" t="n"/>
    </row>
    <row r="98" ht="15" customHeight="1" s="13">
      <c r="F98" s="12" t="n"/>
    </row>
    <row r="99" ht="15" customHeight="1" s="13">
      <c r="F99" s="12" t="n"/>
    </row>
    <row r="100" ht="15" customHeight="1" s="13">
      <c r="F100" s="12" t="n"/>
    </row>
    <row r="101" ht="15" customHeight="1" s="13">
      <c r="F101" s="12" t="n"/>
    </row>
    <row r="102" ht="15" customHeight="1" s="13">
      <c r="F102" s="12" t="n"/>
    </row>
    <row r="103" ht="15" customHeight="1" s="13">
      <c r="F103" s="12" t="n"/>
    </row>
    <row r="104" ht="15" customHeight="1" s="13">
      <c r="F104" s="12" t="n"/>
    </row>
    <row r="105" ht="15" customHeight="1" s="13">
      <c r="F105" s="12" t="n"/>
    </row>
    <row r="106" ht="15" customHeight="1" s="13">
      <c r="F106" s="12" t="n"/>
    </row>
    <row r="107" ht="15" customHeight="1" s="13">
      <c r="F107" s="12" t="n"/>
    </row>
    <row r="108" ht="15" customHeight="1" s="13">
      <c r="F108" s="12" t="n"/>
    </row>
    <row r="109" ht="15" customHeight="1" s="13">
      <c r="F109" s="12" t="n"/>
    </row>
    <row r="110" ht="15" customHeight="1" s="13">
      <c r="F110" s="12" t="n"/>
    </row>
    <row r="111" ht="15" customHeight="1" s="13">
      <c r="F111" s="12" t="n"/>
    </row>
    <row r="112" ht="15" customHeight="1" s="13">
      <c r="F112" s="12" t="n"/>
    </row>
    <row r="113" ht="15" customHeight="1" s="13">
      <c r="F113" s="12" t="n"/>
    </row>
    <row r="114" ht="15" customHeight="1" s="13">
      <c r="F114" s="12" t="n"/>
    </row>
    <row r="115" ht="15" customHeight="1" s="13">
      <c r="F115" s="12" t="n"/>
    </row>
    <row r="116" ht="15" customHeight="1" s="13">
      <c r="F116" s="12" t="n"/>
    </row>
    <row r="117" ht="15" customHeight="1" s="13">
      <c r="F117" s="12" t="n"/>
    </row>
    <row r="118" ht="15" customHeight="1" s="13">
      <c r="F118" s="12" t="n"/>
    </row>
    <row r="119" ht="15" customHeight="1" s="13">
      <c r="F119" s="12" t="n"/>
    </row>
    <row r="120" ht="15" customHeight="1" s="13">
      <c r="F120" s="12" t="n"/>
    </row>
    <row r="121" ht="15" customHeight="1" s="13">
      <c r="F121" s="12" t="n"/>
    </row>
    <row r="122" ht="15" customHeight="1" s="13">
      <c r="F122" s="12" t="n"/>
    </row>
    <row r="123" ht="15" customHeight="1" s="13">
      <c r="F123" s="12" t="n"/>
    </row>
    <row r="124" ht="15" customHeight="1" s="13">
      <c r="F124" s="12" t="n"/>
    </row>
    <row r="125" ht="15" customHeight="1" s="13">
      <c r="F125" s="12" t="n"/>
    </row>
    <row r="126" ht="15" customHeight="1" s="13">
      <c r="F126" s="12" t="n"/>
    </row>
    <row r="127" ht="15" customHeight="1" s="13">
      <c r="F127" s="12" t="n"/>
    </row>
    <row r="128" ht="15" customHeight="1" s="13">
      <c r="F128" s="12" t="n"/>
    </row>
    <row r="129" ht="15" customHeight="1" s="13">
      <c r="F129" s="12" t="n"/>
    </row>
    <row r="130" ht="15" customHeight="1" s="13">
      <c r="F130" s="12" t="n"/>
    </row>
    <row r="131" ht="15" customHeight="1" s="13">
      <c r="F131" s="12" t="n"/>
    </row>
    <row r="132" ht="15" customHeight="1" s="13">
      <c r="F132" s="12" t="n"/>
    </row>
    <row r="133" ht="15" customHeight="1" s="13">
      <c r="F133" s="12" t="n"/>
    </row>
    <row r="134" ht="15" customHeight="1" s="13">
      <c r="F134" s="12" t="n"/>
    </row>
    <row r="135" ht="15" customHeight="1" s="13">
      <c r="F135" s="12" t="n"/>
    </row>
    <row r="136" ht="15" customHeight="1" s="13">
      <c r="F136" s="12" t="n"/>
    </row>
    <row r="137" ht="15" customHeight="1" s="13">
      <c r="F137" s="12" t="n"/>
    </row>
    <row r="138" ht="15" customHeight="1" s="13">
      <c r="F138" s="12" t="n"/>
    </row>
    <row r="139" ht="15" customHeight="1" s="13">
      <c r="F139" s="12" t="n"/>
    </row>
    <row r="140" ht="15" customHeight="1" s="13">
      <c r="F140" s="12" t="n"/>
    </row>
    <row r="141" ht="15" customHeight="1" s="13">
      <c r="F141" s="12" t="n"/>
    </row>
    <row r="142" ht="15" customHeight="1" s="13">
      <c r="F142" s="12" t="n"/>
    </row>
    <row r="143" ht="15" customHeight="1" s="13">
      <c r="F143" s="12" t="n"/>
    </row>
    <row r="144" ht="15" customHeight="1" s="13">
      <c r="F144" s="12" t="n"/>
    </row>
    <row r="145" ht="15" customHeight="1" s="13">
      <c r="F145" s="12" t="n"/>
    </row>
    <row r="146" ht="15" customHeight="1" s="13">
      <c r="F146" s="12" t="n"/>
    </row>
    <row r="147" ht="15" customHeight="1" s="13">
      <c r="F147" s="12" t="n"/>
    </row>
    <row r="148" ht="15" customHeight="1" s="13">
      <c r="F148" s="12" t="n"/>
    </row>
    <row r="149" ht="15" customHeight="1" s="13">
      <c r="F149" s="12" t="n"/>
    </row>
    <row r="150" ht="15" customHeight="1" s="13">
      <c r="F150" s="12" t="n"/>
    </row>
    <row r="151" ht="15" customHeight="1" s="13">
      <c r="F151" s="12" t="n"/>
    </row>
    <row r="152" ht="15" customHeight="1" s="13">
      <c r="F152" s="12" t="n"/>
    </row>
    <row r="153" ht="15" customHeight="1" s="13">
      <c r="F153" s="12" t="n"/>
    </row>
    <row r="154" ht="15" customHeight="1" s="13">
      <c r="F154" s="12" t="n"/>
    </row>
    <row r="155" ht="15" customHeight="1" s="13">
      <c r="F155" s="12" t="n"/>
    </row>
    <row r="156" ht="15" customHeight="1" s="13">
      <c r="F156" s="12" t="n"/>
    </row>
    <row r="157" ht="15" customHeight="1" s="13">
      <c r="F157" s="12" t="n"/>
    </row>
    <row r="158" ht="15" customHeight="1" s="13">
      <c r="F158" s="12" t="n"/>
    </row>
    <row r="159" ht="15" customHeight="1" s="13">
      <c r="F159" s="12" t="n"/>
    </row>
    <row r="160" ht="15" customHeight="1" s="13">
      <c r="F160" s="12" t="n"/>
    </row>
    <row r="161" ht="15" customHeight="1" s="13">
      <c r="F161" s="12" t="n"/>
    </row>
    <row r="162" ht="15" customHeight="1" s="13">
      <c r="F162" s="12" t="n"/>
    </row>
    <row r="163" ht="15" customHeight="1" s="13">
      <c r="F163" s="12" t="n"/>
    </row>
    <row r="164" ht="15" customHeight="1" s="13">
      <c r="F164" s="12" t="n"/>
    </row>
    <row r="165" ht="15" customHeight="1" s="13">
      <c r="F165" s="12" t="n"/>
    </row>
    <row r="166" ht="15" customHeight="1" s="13">
      <c r="F166" s="12" t="n"/>
    </row>
    <row r="167" ht="15" customHeight="1" s="13">
      <c r="F167" s="12" t="n"/>
    </row>
    <row r="168" ht="15" customHeight="1" s="13">
      <c r="F168" s="12" t="n"/>
    </row>
    <row r="169" ht="15" customHeight="1" s="13">
      <c r="F169" s="12" t="n"/>
    </row>
    <row r="170" ht="15" customHeight="1" s="13">
      <c r="F170" s="12" t="n"/>
    </row>
    <row r="171" ht="15" customHeight="1" s="13">
      <c r="F171" s="12" t="n"/>
    </row>
    <row r="172" ht="15" customHeight="1" s="13">
      <c r="F172" s="12" t="n"/>
    </row>
    <row r="173" ht="15" customHeight="1" s="13">
      <c r="F173" s="12" t="n"/>
    </row>
    <row r="174" ht="15" customHeight="1" s="13">
      <c r="F174" s="12" t="n"/>
    </row>
    <row r="175" ht="15" customHeight="1" s="13">
      <c r="F175" s="12" t="n"/>
    </row>
    <row r="176" ht="15" customHeight="1" s="13">
      <c r="F176" s="12" t="n"/>
    </row>
    <row r="177" ht="15" customHeight="1" s="13">
      <c r="F177" s="12" t="n"/>
    </row>
    <row r="178" ht="15" customHeight="1" s="13">
      <c r="F178" s="12" t="n"/>
    </row>
    <row r="179" ht="15" customHeight="1" s="13">
      <c r="F179" s="12" t="n"/>
    </row>
    <row r="180" ht="15" customHeight="1" s="13">
      <c r="F180" s="12" t="n"/>
    </row>
    <row r="181" ht="15" customHeight="1" s="13">
      <c r="F181" s="12" t="n"/>
    </row>
    <row r="182" ht="15" customHeight="1" s="13">
      <c r="F182" s="12" t="n"/>
    </row>
    <row r="183" ht="15" customHeight="1" s="13">
      <c r="F183" s="12" t="n"/>
    </row>
    <row r="184" ht="15" customHeight="1" s="13">
      <c r="F184" s="12" t="n"/>
    </row>
    <row r="185" ht="15" customHeight="1" s="13">
      <c r="F185" s="12" t="n"/>
    </row>
    <row r="186" ht="15" customHeight="1" s="13">
      <c r="F186" s="12" t="n"/>
    </row>
    <row r="187" ht="15" customHeight="1" s="13">
      <c r="F187" s="12" t="n"/>
    </row>
    <row r="188" ht="15" customHeight="1" s="13">
      <c r="F188" s="12" t="n"/>
    </row>
    <row r="189" ht="15" customHeight="1" s="13">
      <c r="F189" s="12" t="n"/>
    </row>
    <row r="190" ht="15" customHeight="1" s="13">
      <c r="F190" s="12" t="n"/>
    </row>
    <row r="191" ht="15" customHeight="1" s="13">
      <c r="F191" s="12" t="n"/>
    </row>
    <row r="192" ht="15" customHeight="1" s="13">
      <c r="F192" s="12" t="n"/>
    </row>
    <row r="193" ht="15" customHeight="1" s="13">
      <c r="F193" s="12" t="n"/>
    </row>
    <row r="194" ht="15" customHeight="1" s="13">
      <c r="F194" s="12" t="n"/>
    </row>
    <row r="195" ht="15" customHeight="1" s="13">
      <c r="F195" s="12" t="n"/>
    </row>
    <row r="196" ht="15" customHeight="1" s="13">
      <c r="F196" s="12" t="n"/>
    </row>
    <row r="197" ht="15" customHeight="1" s="13">
      <c r="F197" s="12" t="n"/>
    </row>
    <row r="198" ht="15" customHeight="1" s="13">
      <c r="F198" s="12" t="n"/>
    </row>
    <row r="199" ht="15" customHeight="1" s="13">
      <c r="F199" s="12" t="n"/>
    </row>
    <row r="200" ht="15" customHeight="1" s="13">
      <c r="F200" s="12" t="n"/>
    </row>
    <row r="201" ht="15" customHeight="1" s="13">
      <c r="F201" s="12" t="n"/>
    </row>
    <row r="202" ht="15" customHeight="1" s="13">
      <c r="F202" s="12" t="n"/>
    </row>
    <row r="203" ht="15" customHeight="1" s="13">
      <c r="F203" s="12" t="n"/>
    </row>
    <row r="204" ht="15" customHeight="1" s="13">
      <c r="F204" s="12" t="n"/>
    </row>
    <row r="205" ht="15" customHeight="1" s="13">
      <c r="F205" s="12" t="n"/>
    </row>
    <row r="206" ht="15" customHeight="1" s="13">
      <c r="F206" s="12" t="n"/>
    </row>
    <row r="207" ht="15" customHeight="1" s="13">
      <c r="F207" s="12" t="n"/>
    </row>
    <row r="208" ht="15" customHeight="1" s="13">
      <c r="F208" s="12" t="n"/>
    </row>
    <row r="209" ht="15" customHeight="1" s="13">
      <c r="F209" s="12" t="n"/>
    </row>
    <row r="210" ht="15" customHeight="1" s="13">
      <c r="F210" s="12" t="n"/>
    </row>
    <row r="211" ht="15" customHeight="1" s="13">
      <c r="F211" s="12" t="n"/>
    </row>
    <row r="212" ht="15" customHeight="1" s="13">
      <c r="F212" s="12" t="n"/>
    </row>
    <row r="213" ht="15" customHeight="1" s="13">
      <c r="F213" s="12" t="n"/>
    </row>
    <row r="214" ht="15" customHeight="1" s="13">
      <c r="F214" s="12" t="n"/>
    </row>
    <row r="215" ht="15" customHeight="1" s="13">
      <c r="F215" s="12" t="n"/>
    </row>
    <row r="216" ht="15" customHeight="1" s="13">
      <c r="F216" s="12" t="n"/>
    </row>
    <row r="217" ht="15" customHeight="1" s="13">
      <c r="F217" s="12" t="n"/>
    </row>
    <row r="218" ht="15" customHeight="1" s="13">
      <c r="F218" s="12" t="n"/>
    </row>
    <row r="219" ht="15" customHeight="1" s="13">
      <c r="F219" s="12" t="n"/>
    </row>
    <row r="220" ht="15" customHeight="1" s="13">
      <c r="F220" s="12" t="n"/>
    </row>
    <row r="221" ht="15" customHeight="1" s="13">
      <c r="F221" s="12" t="n"/>
    </row>
    <row r="222" ht="15" customHeight="1" s="13">
      <c r="F222" s="12" t="n"/>
    </row>
    <row r="223" ht="15" customHeight="1" s="13">
      <c r="F223" s="12" t="n"/>
    </row>
    <row r="224" ht="15" customHeight="1" s="13">
      <c r="F224" s="12" t="n"/>
    </row>
    <row r="225" ht="15" customHeight="1" s="13">
      <c r="F225" s="12" t="n"/>
    </row>
    <row r="226" ht="15" customHeight="1" s="13">
      <c r="F226" s="12" t="n"/>
    </row>
    <row r="227" ht="15" customHeight="1" s="13">
      <c r="F227" s="12" t="n"/>
    </row>
    <row r="228" ht="15" customHeight="1" s="13">
      <c r="F228" s="12" t="n"/>
    </row>
    <row r="229" ht="15" customHeight="1" s="13">
      <c r="F229" s="12" t="n"/>
    </row>
    <row r="230" ht="15" customHeight="1" s="13">
      <c r="F230" s="12" t="n"/>
    </row>
    <row r="231" ht="15" customHeight="1" s="13">
      <c r="F231" s="12" t="n"/>
    </row>
    <row r="232" ht="15" customHeight="1" s="13">
      <c r="F232" s="12" t="n"/>
    </row>
    <row r="233" ht="15" customHeight="1" s="13">
      <c r="F233" s="12" t="n"/>
    </row>
    <row r="234" ht="15" customHeight="1" s="13">
      <c r="F234" s="12" t="n"/>
    </row>
    <row r="235" ht="15" customHeight="1" s="13">
      <c r="F235" s="12" t="n"/>
    </row>
    <row r="236" ht="15" customHeight="1" s="13">
      <c r="F236" s="12" t="n"/>
    </row>
    <row r="237" ht="15" customHeight="1" s="13">
      <c r="F237" s="12" t="n"/>
    </row>
    <row r="238" ht="15" customHeight="1" s="13">
      <c r="F238" s="12" t="n"/>
    </row>
    <row r="239" ht="15" customHeight="1" s="13">
      <c r="F239" s="12" t="n"/>
    </row>
    <row r="240" ht="15" customHeight="1" s="13">
      <c r="F240" s="12" t="n"/>
    </row>
    <row r="241" ht="15" customHeight="1" s="13">
      <c r="F241" s="12" t="n"/>
    </row>
    <row r="242" ht="15" customHeight="1" s="13">
      <c r="F242" s="12" t="n"/>
    </row>
    <row r="243" ht="15" customHeight="1" s="13">
      <c r="F243" s="12" t="n"/>
    </row>
    <row r="244" ht="15" customHeight="1" s="13">
      <c r="F244" s="12" t="n"/>
    </row>
    <row r="245" ht="15" customHeight="1" s="13">
      <c r="F245" s="12" t="n"/>
    </row>
    <row r="246" ht="15" customHeight="1" s="13">
      <c r="F246" s="12" t="n"/>
    </row>
    <row r="247" ht="15" customHeight="1" s="13">
      <c r="F247" s="12" t="n"/>
    </row>
    <row r="248" ht="15" customHeight="1" s="13">
      <c r="F248" s="12" t="n"/>
    </row>
    <row r="249" ht="15" customHeight="1" s="13">
      <c r="F249" s="12" t="n"/>
    </row>
    <row r="250" ht="15" customHeight="1" s="13">
      <c r="F250" s="12" t="n"/>
    </row>
    <row r="251" ht="15" customHeight="1" s="13">
      <c r="F251" s="12" t="n"/>
    </row>
    <row r="252" ht="15" customHeight="1" s="13">
      <c r="F252" s="12" t="n"/>
    </row>
    <row r="253" ht="15" customHeight="1" s="13">
      <c r="F253" s="12" t="n"/>
    </row>
    <row r="254" ht="15" customHeight="1" s="13">
      <c r="F254" s="12" t="n"/>
    </row>
    <row r="255" ht="15" customHeight="1" s="13">
      <c r="F255" s="12" t="n"/>
    </row>
    <row r="256" ht="15" customHeight="1" s="13">
      <c r="F256" s="12" t="n"/>
    </row>
    <row r="257" ht="15" customHeight="1" s="13">
      <c r="F257" s="12" t="n"/>
    </row>
    <row r="258" ht="15" customHeight="1" s="13">
      <c r="F258" s="12" t="n"/>
    </row>
    <row r="259" ht="15" customHeight="1" s="13">
      <c r="F259" s="12" t="n"/>
    </row>
    <row r="260" ht="15" customHeight="1" s="13">
      <c r="F260" s="12" t="n"/>
    </row>
    <row r="261" ht="15" customHeight="1" s="13">
      <c r="F261" s="12" t="n"/>
    </row>
    <row r="262" ht="15" customHeight="1" s="13">
      <c r="F262" s="12" t="n"/>
    </row>
    <row r="263" ht="15" customHeight="1" s="13">
      <c r="F263" s="12" t="n"/>
    </row>
    <row r="264" ht="15" customHeight="1" s="13">
      <c r="F264" s="12" t="n"/>
    </row>
    <row r="265" ht="15" customHeight="1" s="13">
      <c r="F265" s="12" t="n"/>
    </row>
    <row r="266" ht="15" customHeight="1" s="13">
      <c r="F266" s="12" t="n"/>
    </row>
    <row r="267" ht="15" customHeight="1" s="13">
      <c r="F267" s="12" t="n"/>
    </row>
    <row r="268" ht="15" customHeight="1" s="13">
      <c r="F268" s="12" t="n"/>
    </row>
    <row r="269" ht="15" customHeight="1" s="13">
      <c r="F269" s="12" t="n"/>
    </row>
    <row r="270" ht="15" customHeight="1" s="13">
      <c r="F270" s="12" t="n"/>
    </row>
    <row r="271" ht="15" customHeight="1" s="13">
      <c r="F271" s="12" t="n"/>
    </row>
    <row r="272" ht="15" customHeight="1" s="13">
      <c r="F272" s="12" t="n"/>
    </row>
    <row r="273" ht="15" customHeight="1" s="13">
      <c r="F273" s="12" t="n"/>
    </row>
    <row r="274" ht="15" customHeight="1" s="13">
      <c r="F274" s="12" t="n"/>
    </row>
    <row r="275" ht="15" customHeight="1" s="13">
      <c r="F275" s="12" t="n"/>
    </row>
    <row r="276" ht="15" customHeight="1" s="13">
      <c r="F276" s="12" t="n"/>
    </row>
    <row r="277" ht="15" customHeight="1" s="13">
      <c r="F277" s="12" t="n"/>
    </row>
    <row r="278" ht="15" customHeight="1" s="13">
      <c r="F278" s="12" t="n"/>
    </row>
    <row r="279" ht="15" customHeight="1" s="13">
      <c r="F279" s="12" t="n"/>
    </row>
    <row r="280" ht="15" customHeight="1" s="13">
      <c r="F280" s="12" t="n"/>
    </row>
    <row r="281" ht="15" customHeight="1" s="13">
      <c r="F281" s="12" t="n"/>
    </row>
    <row r="282" ht="15" customHeight="1" s="13">
      <c r="F282" s="12" t="n"/>
    </row>
    <row r="283" ht="15" customHeight="1" s="13">
      <c r="F283" s="12" t="n"/>
    </row>
    <row r="284" ht="15" customHeight="1" s="13">
      <c r="F284" s="12" t="n"/>
    </row>
    <row r="285" ht="15" customHeight="1" s="13">
      <c r="F285" s="12" t="n"/>
    </row>
    <row r="286" ht="15" customHeight="1" s="13">
      <c r="F286" s="12" t="n"/>
    </row>
    <row r="287" ht="15" customHeight="1" s="13">
      <c r="F287" s="12" t="n"/>
    </row>
    <row r="288" ht="15" customHeight="1" s="13">
      <c r="F288" s="12" t="n"/>
    </row>
    <row r="289" ht="15" customHeight="1" s="13">
      <c r="F289" s="12" t="n"/>
    </row>
    <row r="290" ht="15" customHeight="1" s="13">
      <c r="F290" s="12" t="n"/>
    </row>
    <row r="291" ht="15" customHeight="1" s="13">
      <c r="F291" s="12" t="n"/>
    </row>
    <row r="292" ht="15" customHeight="1" s="13">
      <c r="F292" s="12" t="n"/>
    </row>
    <row r="293" ht="15" customHeight="1" s="13">
      <c r="F293" s="12" t="n"/>
    </row>
    <row r="294" ht="15" customHeight="1" s="13">
      <c r="F294" s="12" t="n"/>
    </row>
    <row r="295" ht="15" customHeight="1" s="13">
      <c r="F295" s="12" t="n"/>
    </row>
    <row r="296" ht="15" customHeight="1" s="13">
      <c r="F296" s="12" t="n"/>
    </row>
    <row r="297" ht="15" customHeight="1" s="13">
      <c r="F297" s="12" t="n"/>
    </row>
    <row r="298" ht="15" customHeight="1" s="13">
      <c r="F298" s="12" t="n"/>
    </row>
    <row r="299" ht="15" customHeight="1" s="13">
      <c r="F299" s="12" t="n"/>
    </row>
    <row r="300" ht="15" customHeight="1" s="13">
      <c r="F300" s="12" t="n"/>
    </row>
    <row r="301" ht="15" customHeight="1" s="13">
      <c r="F301" s="12" t="n"/>
    </row>
    <row r="302" ht="15" customHeight="1" s="13">
      <c r="F302" s="12" t="n"/>
    </row>
    <row r="303" ht="15" customHeight="1" s="13">
      <c r="F303" s="12" t="n"/>
    </row>
    <row r="304" ht="15" customHeight="1" s="13">
      <c r="F304" s="12" t="n"/>
    </row>
    <row r="305" ht="15" customHeight="1" s="13">
      <c r="F305" s="12" t="n"/>
    </row>
    <row r="306" ht="15" customHeight="1" s="13">
      <c r="F306" s="12" t="n"/>
    </row>
    <row r="307" ht="15" customHeight="1" s="13">
      <c r="F307" s="12" t="n"/>
    </row>
    <row r="308" ht="15" customHeight="1" s="13">
      <c r="F308" s="12" t="n"/>
    </row>
    <row r="309" ht="15" customHeight="1" s="13">
      <c r="F309" s="12" t="n"/>
    </row>
    <row r="310" ht="15" customHeight="1" s="13">
      <c r="F310" s="12" t="n"/>
    </row>
    <row r="311" ht="15" customHeight="1" s="13">
      <c r="F311" s="12" t="n"/>
    </row>
    <row r="312" ht="15" customHeight="1" s="13">
      <c r="F312" s="12" t="n"/>
    </row>
    <row r="313" ht="15" customHeight="1" s="13">
      <c r="F313" s="12" t="n"/>
    </row>
    <row r="314" ht="15" customHeight="1" s="13">
      <c r="F314" s="12" t="n"/>
    </row>
    <row r="315" ht="15" customHeight="1" s="13">
      <c r="F315" s="12" t="n"/>
    </row>
    <row r="316" ht="15" customHeight="1" s="13">
      <c r="F316" s="12" t="n"/>
    </row>
    <row r="317" ht="15" customHeight="1" s="13">
      <c r="F317" s="12" t="n"/>
    </row>
    <row r="318" ht="15" customHeight="1" s="13">
      <c r="F318" s="12" t="n"/>
    </row>
    <row r="319" ht="15" customHeight="1" s="13">
      <c r="F319" s="12" t="n"/>
    </row>
    <row r="320" ht="15" customHeight="1" s="13">
      <c r="F320" s="12" t="n"/>
    </row>
    <row r="321" ht="15" customHeight="1" s="13">
      <c r="F321" s="12" t="n"/>
    </row>
    <row r="322" ht="15" customHeight="1" s="13">
      <c r="F322" s="12" t="n"/>
    </row>
    <row r="323" ht="15" customHeight="1" s="13">
      <c r="F323" s="12" t="n"/>
    </row>
    <row r="324" ht="15" customHeight="1" s="13">
      <c r="F324" s="12" t="n"/>
    </row>
    <row r="325" ht="15" customHeight="1" s="13">
      <c r="F325" s="12" t="n"/>
    </row>
    <row r="326" ht="15" customHeight="1" s="13">
      <c r="F326" s="12" t="n"/>
    </row>
    <row r="327" ht="15" customHeight="1" s="13">
      <c r="F327" s="12" t="n"/>
    </row>
    <row r="328" ht="15" customHeight="1" s="13">
      <c r="F328" s="12" t="n"/>
    </row>
    <row r="329" ht="15" customHeight="1" s="13">
      <c r="F329" s="12" t="n"/>
    </row>
    <row r="330" ht="15" customHeight="1" s="13">
      <c r="F330" s="12" t="n"/>
    </row>
    <row r="331" ht="15" customHeight="1" s="13">
      <c r="F331" s="12" t="n"/>
    </row>
    <row r="332" ht="15" customHeight="1" s="13">
      <c r="F332" s="12" t="n"/>
    </row>
    <row r="333" ht="15" customHeight="1" s="13">
      <c r="F333" s="12" t="n"/>
    </row>
    <row r="334" ht="15" customHeight="1" s="13">
      <c r="F334" s="12" t="n"/>
    </row>
    <row r="335" ht="15" customHeight="1" s="13">
      <c r="F335" s="12" t="n"/>
    </row>
    <row r="336" ht="15" customHeight="1" s="13">
      <c r="F336" s="12" t="n"/>
    </row>
    <row r="337" ht="15" customHeight="1" s="13">
      <c r="F337" s="12" t="n"/>
    </row>
    <row r="338" ht="15" customHeight="1" s="13">
      <c r="F338" s="12" t="n"/>
    </row>
    <row r="339" ht="15" customHeight="1" s="13">
      <c r="F339" s="12" t="n"/>
    </row>
    <row r="340" ht="15" customHeight="1" s="13">
      <c r="F340" s="12" t="n"/>
    </row>
    <row r="341" ht="15" customHeight="1" s="13">
      <c r="F341" s="12" t="n"/>
    </row>
    <row r="342" ht="15" customHeight="1" s="13">
      <c r="F342" s="12" t="n"/>
    </row>
    <row r="343" ht="15" customHeight="1" s="13">
      <c r="F343" s="12" t="n"/>
    </row>
    <row r="344" ht="15" customHeight="1" s="13">
      <c r="F344" s="12" t="n"/>
    </row>
    <row r="345" ht="15" customHeight="1" s="13">
      <c r="F345" s="12" t="n"/>
    </row>
    <row r="346" ht="15" customHeight="1" s="13">
      <c r="F346" s="12" t="n"/>
    </row>
    <row r="347" ht="15" customHeight="1" s="13">
      <c r="F347" s="12" t="n"/>
    </row>
    <row r="348" ht="15" customHeight="1" s="13">
      <c r="F348" s="12" t="n"/>
    </row>
    <row r="349" ht="15" customHeight="1" s="13">
      <c r="F349" s="12" t="n"/>
    </row>
    <row r="350" ht="15" customHeight="1" s="13">
      <c r="F350" s="12" t="n"/>
    </row>
    <row r="351" ht="15" customHeight="1" s="13">
      <c r="F351" s="12" t="n"/>
    </row>
    <row r="352" ht="15" customHeight="1" s="13">
      <c r="F352" s="12" t="n"/>
    </row>
    <row r="353" ht="15" customHeight="1" s="13">
      <c r="F353" s="12" t="n"/>
    </row>
    <row r="354" ht="15" customHeight="1" s="13">
      <c r="F354" s="12" t="n"/>
    </row>
    <row r="355" ht="15" customHeight="1" s="13">
      <c r="F355" s="12" t="n"/>
    </row>
    <row r="356" ht="15" customHeight="1" s="13">
      <c r="F356" s="12" t="n"/>
    </row>
    <row r="357" ht="15" customHeight="1" s="13">
      <c r="F357" s="12" t="n"/>
    </row>
    <row r="358" ht="15" customHeight="1" s="13">
      <c r="F358" s="12" t="n"/>
    </row>
    <row r="359" ht="15" customHeight="1" s="13">
      <c r="F359" s="12" t="n"/>
    </row>
    <row r="360" ht="15" customHeight="1" s="13">
      <c r="F360" s="12" t="n"/>
    </row>
    <row r="361" ht="15" customHeight="1" s="13">
      <c r="F361" s="12" t="n"/>
    </row>
    <row r="362" ht="15" customHeight="1" s="13">
      <c r="F362" s="12" t="n"/>
    </row>
    <row r="363" ht="15" customHeight="1" s="13">
      <c r="F363" s="12" t="n"/>
    </row>
    <row r="364" ht="15" customHeight="1" s="13">
      <c r="F364" s="12" t="n"/>
    </row>
    <row r="365" ht="15" customHeight="1" s="13">
      <c r="F365" s="12" t="n"/>
    </row>
    <row r="366" ht="15" customHeight="1" s="13">
      <c r="F366" s="12" t="n"/>
    </row>
    <row r="367" ht="15" customHeight="1" s="13">
      <c r="F367" s="12" t="n"/>
    </row>
    <row r="368" ht="15" customHeight="1" s="13">
      <c r="F368" s="12" t="n"/>
    </row>
    <row r="369" ht="15" customHeight="1" s="13">
      <c r="F369" s="12" t="n"/>
    </row>
    <row r="370" ht="15" customHeight="1" s="13">
      <c r="F370" s="12" t="n"/>
    </row>
    <row r="371" ht="15" customHeight="1" s="13">
      <c r="F371" s="12" t="n"/>
    </row>
    <row r="372" ht="15" customHeight="1" s="13">
      <c r="F372" s="12" t="n"/>
    </row>
    <row r="373" ht="15" customHeight="1" s="13">
      <c r="F373" s="12" t="n"/>
    </row>
    <row r="374" ht="15" customHeight="1" s="13">
      <c r="F374" s="12" t="n"/>
    </row>
    <row r="375" ht="15" customHeight="1" s="13">
      <c r="F375" s="12" t="n"/>
    </row>
    <row r="376" ht="15" customHeight="1" s="13">
      <c r="F376" s="12" t="n"/>
    </row>
    <row r="377" ht="15" customHeight="1" s="13">
      <c r="F377" s="12" t="n"/>
    </row>
    <row r="378" ht="15" customHeight="1" s="13">
      <c r="F378" s="12" t="n"/>
    </row>
    <row r="379" ht="15" customHeight="1" s="13">
      <c r="F379" s="12" t="n"/>
    </row>
    <row r="380" ht="15" customHeight="1" s="13">
      <c r="F380" s="12" t="n"/>
    </row>
    <row r="381" ht="15" customHeight="1" s="13">
      <c r="F381" s="12" t="n"/>
    </row>
    <row r="382" ht="15" customHeight="1" s="13">
      <c r="F382" s="12" t="n"/>
    </row>
    <row r="383" ht="15" customHeight="1" s="13">
      <c r="F383" s="12" t="n"/>
    </row>
    <row r="384" ht="15" customHeight="1" s="13">
      <c r="F384" s="12" t="n"/>
    </row>
    <row r="385" ht="15" customHeight="1" s="13">
      <c r="F385" s="12" t="n"/>
    </row>
    <row r="386" ht="15" customHeight="1" s="13">
      <c r="F386" s="12" t="n"/>
    </row>
    <row r="387" ht="15" customHeight="1" s="13">
      <c r="F387" s="12" t="n"/>
    </row>
    <row r="388" ht="15" customHeight="1" s="13">
      <c r="F388" s="12" t="n"/>
    </row>
    <row r="389" ht="15" customHeight="1" s="13">
      <c r="F389" s="12" t="n"/>
    </row>
    <row r="390" ht="15" customHeight="1" s="13">
      <c r="F390" s="12" t="n"/>
    </row>
    <row r="391" ht="15" customHeight="1" s="13">
      <c r="F391" s="12" t="n"/>
    </row>
    <row r="392" ht="15" customHeight="1" s="13">
      <c r="F392" s="12" t="n"/>
    </row>
    <row r="393" ht="15" customHeight="1" s="13">
      <c r="F393" s="12" t="n"/>
    </row>
    <row r="394" ht="15" customHeight="1" s="13">
      <c r="F394" s="12" t="n"/>
    </row>
    <row r="395" ht="15" customHeight="1" s="13">
      <c r="F395" s="12" t="n"/>
    </row>
    <row r="396" ht="15" customHeight="1" s="13">
      <c r="F396" s="12" t="n"/>
    </row>
    <row r="397" ht="15" customHeight="1" s="13">
      <c r="F397" s="12" t="n"/>
    </row>
    <row r="398" ht="15" customHeight="1" s="13">
      <c r="F398" s="12" t="n"/>
    </row>
    <row r="399" ht="15" customHeight="1" s="13">
      <c r="F399" s="12" t="n"/>
    </row>
    <row r="400" ht="15" customHeight="1" s="13">
      <c r="F400" s="12" t="n"/>
    </row>
    <row r="401" ht="15" customHeight="1" s="13">
      <c r="F401" s="12" t="n"/>
    </row>
    <row r="402" ht="15" customHeight="1" s="13">
      <c r="F402" s="12" t="n"/>
    </row>
    <row r="403" ht="15" customHeight="1" s="13">
      <c r="F403" s="12" t="n"/>
    </row>
    <row r="404" ht="15" customHeight="1" s="13">
      <c r="F404" s="12" t="n"/>
    </row>
    <row r="405" ht="15" customHeight="1" s="13">
      <c r="F405" s="12" t="n"/>
    </row>
    <row r="406" ht="15" customHeight="1" s="13">
      <c r="F406" s="12" t="n"/>
    </row>
    <row r="407" ht="15" customHeight="1" s="13">
      <c r="F407" s="12" t="n"/>
    </row>
    <row r="408" ht="15" customHeight="1" s="13">
      <c r="F408" s="12" t="n"/>
    </row>
    <row r="409" ht="15" customHeight="1" s="13">
      <c r="F409" s="12" t="n"/>
    </row>
    <row r="410" ht="15" customHeight="1" s="13">
      <c r="F410" s="12" t="n"/>
    </row>
    <row r="411" ht="15" customHeight="1" s="13">
      <c r="F411" s="12" t="n"/>
    </row>
    <row r="412" ht="15" customHeight="1" s="13">
      <c r="F412" s="12" t="n"/>
    </row>
    <row r="413" ht="15" customHeight="1" s="13">
      <c r="F413" s="12" t="n"/>
    </row>
    <row r="414" ht="15" customHeight="1" s="13">
      <c r="F414" s="12" t="n"/>
    </row>
    <row r="415" ht="15" customHeight="1" s="13">
      <c r="F415" s="12" t="n"/>
    </row>
    <row r="416" ht="15" customHeight="1" s="13">
      <c r="F416" s="12" t="n"/>
    </row>
    <row r="417" ht="15" customHeight="1" s="13">
      <c r="F417" s="12" t="n"/>
    </row>
    <row r="418" ht="15" customHeight="1" s="13">
      <c r="F418" s="12" t="n"/>
    </row>
    <row r="419" ht="15" customHeight="1" s="13">
      <c r="F419" s="12" t="n"/>
    </row>
    <row r="420" ht="15" customHeight="1" s="13">
      <c r="F420" s="12" t="n"/>
    </row>
    <row r="421" ht="15" customHeight="1" s="13">
      <c r="F421" s="12" t="n"/>
    </row>
    <row r="422" ht="15" customHeight="1" s="13">
      <c r="F422" s="12" t="n"/>
    </row>
    <row r="423" ht="15" customHeight="1" s="13">
      <c r="F423" s="12" t="n"/>
    </row>
    <row r="424" ht="15" customHeight="1" s="13">
      <c r="F424" s="12" t="n"/>
    </row>
    <row r="425" ht="15" customHeight="1" s="13">
      <c r="F425" s="12" t="n"/>
    </row>
    <row r="426" ht="15" customHeight="1" s="13">
      <c r="F426" s="12" t="n"/>
    </row>
    <row r="427" ht="15" customHeight="1" s="13">
      <c r="F427" s="12" t="n"/>
    </row>
    <row r="428" ht="15" customHeight="1" s="13">
      <c r="F428" s="12" t="n"/>
    </row>
    <row r="429" ht="15" customHeight="1" s="13">
      <c r="F429" s="12" t="n"/>
    </row>
    <row r="430" ht="15" customHeight="1" s="13">
      <c r="F430" s="12" t="n"/>
    </row>
    <row r="431" ht="15" customHeight="1" s="13">
      <c r="F431" s="12" t="n"/>
    </row>
    <row r="432" ht="15" customHeight="1" s="13">
      <c r="F432" s="12" t="n"/>
    </row>
    <row r="433" ht="15" customHeight="1" s="13">
      <c r="F433" s="12" t="n"/>
    </row>
    <row r="434" ht="15" customHeight="1" s="13">
      <c r="F434" s="12" t="n"/>
    </row>
    <row r="435" ht="15" customHeight="1" s="13">
      <c r="F435" s="12" t="n"/>
    </row>
    <row r="436" ht="15" customHeight="1" s="13">
      <c r="F436" s="12" t="n"/>
    </row>
    <row r="437" ht="15" customHeight="1" s="13">
      <c r="F437" s="12" t="n"/>
    </row>
    <row r="438" ht="15" customHeight="1" s="13">
      <c r="F438" s="12" t="n"/>
    </row>
    <row r="439" ht="15" customHeight="1" s="13">
      <c r="F439" s="12" t="n"/>
    </row>
    <row r="440" ht="15" customHeight="1" s="13">
      <c r="F440" s="12" t="n"/>
    </row>
    <row r="441" ht="15" customHeight="1" s="13">
      <c r="F441" s="12" t="n"/>
    </row>
    <row r="442" ht="15" customHeight="1" s="13">
      <c r="F442" s="12" t="n"/>
    </row>
    <row r="443" ht="15" customHeight="1" s="13">
      <c r="F443" s="12" t="n"/>
    </row>
    <row r="444" ht="15" customHeight="1" s="13">
      <c r="F444" s="12" t="n"/>
    </row>
    <row r="445" ht="15" customHeight="1" s="13">
      <c r="F445" s="12" t="n"/>
    </row>
    <row r="446" ht="15" customHeight="1" s="13">
      <c r="F446" s="12" t="n"/>
    </row>
    <row r="447" ht="15" customHeight="1" s="13">
      <c r="F447" s="12" t="n"/>
    </row>
    <row r="448" ht="15" customHeight="1" s="13">
      <c r="F448" s="12" t="n"/>
    </row>
    <row r="449" ht="15" customHeight="1" s="13">
      <c r="F449" s="12" t="n"/>
    </row>
    <row r="450" ht="15" customHeight="1" s="13">
      <c r="F450" s="12" t="n"/>
    </row>
    <row r="451" ht="15" customHeight="1" s="13">
      <c r="F451" s="12" t="n"/>
    </row>
    <row r="452" ht="15" customHeight="1" s="13">
      <c r="F452" s="12" t="n"/>
    </row>
    <row r="453" ht="15" customHeight="1" s="13">
      <c r="F453" s="12" t="n"/>
    </row>
    <row r="454" ht="15" customHeight="1" s="13">
      <c r="F454" s="12" t="n"/>
    </row>
    <row r="455" ht="15" customHeight="1" s="13">
      <c r="F455" s="12" t="n"/>
    </row>
    <row r="456" ht="15" customHeight="1" s="13">
      <c r="F456" s="12" t="n"/>
    </row>
    <row r="457" ht="15" customHeight="1" s="13">
      <c r="F457" s="12" t="n"/>
    </row>
    <row r="458" ht="15" customHeight="1" s="13">
      <c r="F458" s="12" t="n"/>
    </row>
    <row r="459" ht="15" customHeight="1" s="13">
      <c r="F459" s="12" t="n"/>
    </row>
    <row r="460" ht="15" customHeight="1" s="13">
      <c r="F460" s="12" t="n"/>
    </row>
    <row r="461" ht="15" customHeight="1" s="13">
      <c r="F461" s="12" t="n"/>
    </row>
    <row r="462" ht="15" customHeight="1" s="13">
      <c r="F462" s="12" t="n"/>
    </row>
    <row r="463" ht="15" customHeight="1" s="13">
      <c r="F463" s="12" t="n"/>
    </row>
    <row r="464" ht="15" customHeight="1" s="13">
      <c r="F464" s="12" t="n"/>
    </row>
    <row r="465" ht="15" customHeight="1" s="13">
      <c r="F465" s="12" t="n"/>
    </row>
    <row r="466" ht="15" customHeight="1" s="13">
      <c r="F466" s="12" t="n"/>
    </row>
    <row r="467" ht="15" customHeight="1" s="13">
      <c r="F467" s="12" t="n"/>
    </row>
    <row r="468" ht="15" customHeight="1" s="13">
      <c r="F468" s="12" t="n"/>
    </row>
    <row r="469" ht="15" customHeight="1" s="13">
      <c r="F469" s="12" t="n"/>
    </row>
    <row r="470" ht="15" customHeight="1" s="13">
      <c r="F470" s="12" t="n"/>
    </row>
    <row r="471" ht="15" customHeight="1" s="13">
      <c r="F471" s="12" t="n"/>
    </row>
    <row r="472" ht="15" customHeight="1" s="13">
      <c r="F472" s="12" t="n"/>
    </row>
    <row r="473" ht="15" customHeight="1" s="13">
      <c r="F473" s="12" t="n"/>
    </row>
    <row r="474" ht="15" customHeight="1" s="13">
      <c r="F474" s="12" t="n"/>
    </row>
    <row r="475" ht="15" customHeight="1" s="13">
      <c r="F475" s="12" t="n"/>
    </row>
    <row r="476" ht="15" customHeight="1" s="13">
      <c r="F476" s="12" t="n"/>
    </row>
    <row r="477" ht="15" customHeight="1" s="13">
      <c r="F477" s="12" t="n"/>
    </row>
    <row r="478" ht="15" customHeight="1" s="13">
      <c r="F478" s="12" t="n"/>
    </row>
    <row r="479" ht="15" customHeight="1" s="13">
      <c r="F479" s="12" t="n"/>
    </row>
    <row r="480" ht="15" customHeight="1" s="13">
      <c r="F480" s="12" t="n"/>
    </row>
    <row r="481" ht="15" customHeight="1" s="13">
      <c r="F481" s="12" t="n"/>
    </row>
    <row r="482" ht="15" customHeight="1" s="13">
      <c r="F482" s="12" t="n"/>
    </row>
    <row r="483" ht="15" customHeight="1" s="13">
      <c r="F483" s="12" t="n"/>
    </row>
    <row r="484" ht="15" customHeight="1" s="13">
      <c r="F484" s="12" t="n"/>
    </row>
    <row r="485" ht="15" customHeight="1" s="13">
      <c r="F485" s="12" t="n"/>
    </row>
    <row r="486" ht="15" customHeight="1" s="13">
      <c r="F486" s="12" t="n"/>
    </row>
    <row r="487" ht="15" customHeight="1" s="13">
      <c r="F487" s="12" t="n"/>
    </row>
    <row r="488" ht="15" customHeight="1" s="13">
      <c r="F488" s="12" t="n"/>
    </row>
    <row r="489" ht="15" customHeight="1" s="13">
      <c r="F489" s="12" t="n"/>
    </row>
    <row r="490" ht="15" customHeight="1" s="13">
      <c r="F490" s="12" t="n"/>
    </row>
    <row r="491" ht="15" customHeight="1" s="13">
      <c r="F491" s="12" t="n"/>
    </row>
    <row r="492" ht="15" customHeight="1" s="13">
      <c r="F492" s="12" t="n"/>
    </row>
    <row r="493" ht="15" customHeight="1" s="13">
      <c r="F493" s="12" t="n"/>
    </row>
    <row r="494" ht="15" customHeight="1" s="13">
      <c r="F494" s="12" t="n"/>
    </row>
    <row r="495" ht="15" customHeight="1" s="13">
      <c r="F495" s="12" t="n"/>
    </row>
    <row r="496" ht="15" customHeight="1" s="13">
      <c r="F496" s="12" t="n"/>
    </row>
    <row r="497" ht="15" customHeight="1" s="13">
      <c r="F497" s="12" t="n"/>
    </row>
    <row r="498" ht="15" customHeight="1" s="13">
      <c r="F498" s="12" t="n"/>
    </row>
    <row r="499" ht="15" customHeight="1" s="13">
      <c r="F499" s="12" t="n"/>
    </row>
    <row r="500" ht="15" customHeight="1" s="13">
      <c r="F500" s="12" t="n"/>
    </row>
  </sheetData>
  <mergeCells count="1">
    <mergeCell ref="A2:H2"/>
  </mergeCells>
  <dataValidations count="1">
    <dataValidation sqref="F3:F500" showDropDown="0" showInputMessage="0" showErrorMessage="1" allowBlank="1" type="list" errorStyle="stop" operator="between">
      <formula1>"Répondu,Relancé,RDV fixé,Vendu,Perdu"</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2026-10-13T14:44:44Z</dcterms:created>
  <dcterms:modified xmlns:dcterms="http://purl.org/dc/terms/" xmlns:xsi="http://www.w3.org/2001/XMLSchema-instance" xsi:type="dcterms:W3CDTF">2026-10-13T19:58:01Z</dcterms:modified>
  <cp:revision>0</cp:revision>
</cp:coreProperties>
</file>